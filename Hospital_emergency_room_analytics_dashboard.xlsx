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3.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4.xml" ContentType="application/vnd.openxmlformats-officedocument.drawingml.chartshapes+xml"/>
  <Override PartName="/xl/drawings/drawing5.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6.xml" ContentType="application/vnd.openxmlformats-officedocument.drawingml.chartshapes+xml"/>
  <Override PartName="/xl/drawings/drawing7.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166925"/>
  <mc:AlternateContent xmlns:mc="http://schemas.openxmlformats.org/markup-compatibility/2006">
    <mc:Choice Requires="x15">
      <x15ac:absPath xmlns:x15ac="http://schemas.microsoft.com/office/spreadsheetml/2010/11/ac" url="https://d.docs.live.net/cb137b1f02ece7f1/Documents/"/>
    </mc:Choice>
  </mc:AlternateContent>
  <xr:revisionPtr revIDLastSave="951" documentId="14_{89D66FF1-FAEF-41AF-92C9-8EAE1F5BFC98}" xr6:coauthVersionLast="47" xr6:coauthVersionMax="47" xr10:uidLastSave="{E933635C-AF61-48A4-A909-AB904015444B}"/>
  <bookViews>
    <workbookView minimized="1" xWindow="2952" yWindow="2232" windowWidth="17280" windowHeight="8880" activeTab="1" xr2:uid="{30D21970-B86A-4AF0-89B0-0F2B23D4C75D}"/>
  </bookViews>
  <sheets>
    <sheet name="Pivot Report" sheetId="1" r:id="rId1"/>
    <sheet name="Dashboard sheet" sheetId="2" r:id="rId2"/>
    <sheet name="Average wait time daily trend" sheetId="4" r:id="rId3"/>
    <sheet name="Daily ER no. of patients" sheetId="3" r:id="rId4"/>
    <sheet name="Satisfaction score daily trend" sheetId="5" r:id="rId5"/>
  </sheets>
  <definedNames>
    <definedName name="Slicer_Date__Month">#N/A</definedName>
    <definedName name="Slicer_Date__Year">#N/A</definedName>
  </definedNames>
  <calcPr calcId="191029"/>
  <pivotCaches>
    <pivotCache cacheId="159" r:id="rId6"/>
    <pivotCache cacheId="162" r:id="rId7"/>
    <pivotCache cacheId="165" r:id="rId8"/>
    <pivotCache cacheId="168" r:id="rId9"/>
    <pivotCache cacheId="171" r:id="rId10"/>
    <pivotCache cacheId="174" r:id="rId11"/>
    <pivotCache cacheId="177" r:id="rId12"/>
    <pivotCache cacheId="180" r:id="rId13"/>
    <pivotCache cacheId="183" r:id="rId14"/>
    <pivotCache cacheId="186" r:id="rId15"/>
    <pivotCache cacheId="189" r:id="rId16"/>
    <pivotCache cacheId="192" r:id="rId17"/>
  </pivotCaches>
  <extLst>
    <ext xmlns:x14="http://schemas.microsoft.com/office/spreadsheetml/2009/9/main" uri="{876F7934-8845-4945-9796-88D515C7AA90}">
      <x14:pivotCaches>
        <pivotCache cacheId="12" r:id="rId18"/>
      </x14:pivotCaches>
    </ext>
    <ext xmlns:x14="http://schemas.microsoft.com/office/spreadsheetml/2009/9/main" uri="{BBE1A952-AA13-448e-AADC-164F8A28A991}">
      <x14:slicerCaches>
        <x14:slicerCache r:id="rId19"/>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69a63c75-9da0-44c9-9ca3-bdc3f08ec0ce" name="Hospital Emergency Room Data" connection="Query - Hospital Emergency Room Data"/>
          <x15:modelTable id="Calendar_Table_787ceeff-fa9b-40a7-97b5-b16bd2d950fd" name="Calendar_Table" connection="Query - Calendar_Table"/>
        </x15:modelTables>
        <x15:modelRelationships>
          <x15:modelRelationship fromTable="Hospital Emergency Room Data" fromColumn="Patient Admission Date" toTable="Calendar_Table" toColumn="Date"/>
        </x15:modelRelationships>
        <x15:extLst>
          <ext xmlns:x16="http://schemas.microsoft.com/office/spreadsheetml/2014/11/main" uri="{9835A34E-60A6-4A7C-AAB8-D5F71C897F49}">
            <x16:modelTimeGroupings>
              <x16:modelTimeGrouping tableName="Calendar_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50" i="1" l="1"/>
  <c r="B50" i="1"/>
  <c r="C50" i="1"/>
  <c r="C51" i="1"/>
  <c r="B51" i="1"/>
  <c r="A51"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1427F21-F326-4DDE-93F0-3BB007FB8AA0}" name="Query - Calendar_Table" description="Connection to the 'Calendar_Table' query in the workbook." type="100" refreshedVersion="8" minRefreshableVersion="5">
    <extLst>
      <ext xmlns:x15="http://schemas.microsoft.com/office/spreadsheetml/2010/11/main" uri="{DE250136-89BD-433C-8126-D09CA5730AF9}">
        <x15:connection id="0a18566a-1fe9-4b44-8341-e52d7c3d366a"/>
      </ext>
    </extLst>
  </connection>
  <connection id="2" xr16:uid="{2FDAECBE-B8F4-447F-AA3D-DA9310615EE7}" name="Query - Hospital Emergency Room Data" description="Connection to the 'Hospital Emergency Room Data' query in the workbook." type="100" refreshedVersion="8" minRefreshableVersion="5">
    <extLst>
      <ext xmlns:x15="http://schemas.microsoft.com/office/spreadsheetml/2010/11/main" uri="{DE250136-89BD-433C-8126-D09CA5730AF9}">
        <x15:connection id="ec2a4a73-2f5a-4acd-b40b-5b4cf310e9e7"/>
      </ext>
    </extLst>
  </connection>
  <connection id="3" xr16:uid="{DCEA133F-C24B-4F81-A8A8-F58E539ED104}"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<sst xmlns="http://schemas.openxmlformats.org/spreadsheetml/2006/main" count="156" uniqueCount="74">
  <si>
    <t>Distinct Count of Patient Id</t>
  </si>
  <si>
    <t>No. of Patients</t>
  </si>
  <si>
    <t>Average of Patient Waittime</t>
  </si>
  <si>
    <t>Average of Patient Satisfaction Score</t>
  </si>
  <si>
    <t>Row Labels</t>
  </si>
  <si>
    <t>Grand Total</t>
  </si>
  <si>
    <t>Daily trends of no.of patients</t>
  </si>
  <si>
    <t>Average Wait time</t>
  </si>
  <si>
    <t>Area Chart to track daily changes and highlight days with longer wait times that might need improvements.</t>
  </si>
  <si>
    <t>Satisfaction score daily trend</t>
  </si>
  <si>
    <t>Area sparkline to show trends, spot drops in satisfaction, and link them to busy times or challenges.</t>
  </si>
  <si>
    <t>Show a daily trend with an area sparkline to spot patterns like busy days or seasonal trends.</t>
  </si>
  <si>
    <t>Count of Patient Admission Flag</t>
  </si>
  <si>
    <t>Admitted</t>
  </si>
  <si>
    <t>Not Admitted</t>
  </si>
  <si>
    <t>Count of Patient Admission Flag2</t>
  </si>
  <si>
    <t>Admission Status</t>
  </si>
  <si>
    <t>%Status</t>
  </si>
  <si>
    <t>0-09</t>
  </si>
  <si>
    <t>10-19</t>
  </si>
  <si>
    <t>20-29</t>
  </si>
  <si>
    <t>30-39</t>
  </si>
  <si>
    <t>40-49</t>
  </si>
  <si>
    <t>50-59</t>
  </si>
  <si>
    <t>60-69</t>
  </si>
  <si>
    <t>70-79</t>
  </si>
  <si>
    <t>Count of Age Group</t>
  </si>
  <si>
    <t>On time</t>
  </si>
  <si>
    <t>Delay</t>
  </si>
  <si>
    <t>Count of Patient Attend Status</t>
  </si>
  <si>
    <t>Female</t>
  </si>
  <si>
    <t>Male</t>
  </si>
  <si>
    <t>Count of Patient Gender</t>
  </si>
  <si>
    <t>Cardiology</t>
  </si>
  <si>
    <t>Gastroenterology</t>
  </si>
  <si>
    <t>General Practice</t>
  </si>
  <si>
    <t>Neurology</t>
  </si>
  <si>
    <t>None</t>
  </si>
  <si>
    <t>Orthopedics</t>
  </si>
  <si>
    <t>Physiotherapy</t>
  </si>
  <si>
    <t>Renal</t>
  </si>
  <si>
    <t>Count of Department Referral</t>
  </si>
  <si>
    <t>2024</t>
  </si>
  <si>
    <t>1-Jul</t>
  </si>
  <si>
    <t>2-Jul</t>
  </si>
  <si>
    <t>3-Jul</t>
  </si>
  <si>
    <t>4-Jul</t>
  </si>
  <si>
    <t>5-Jul</t>
  </si>
  <si>
    <t>6-Jul</t>
  </si>
  <si>
    <t>7-Jul</t>
  </si>
  <si>
    <t>8-Jul</t>
  </si>
  <si>
    <t>9-Jul</t>
  </si>
  <si>
    <t>10-Jul</t>
  </si>
  <si>
    <t>11-Jul</t>
  </si>
  <si>
    <t>12-Jul</t>
  </si>
  <si>
    <t>13-Jul</t>
  </si>
  <si>
    <t>14-Jul</t>
  </si>
  <si>
    <t>15-Jul</t>
  </si>
  <si>
    <t>16-Jul</t>
  </si>
  <si>
    <t>17-Jul</t>
  </si>
  <si>
    <t>18-Jul</t>
  </si>
  <si>
    <t>19-Jul</t>
  </si>
  <si>
    <t>20-Jul</t>
  </si>
  <si>
    <t>21-Jul</t>
  </si>
  <si>
    <t>22-Jul</t>
  </si>
  <si>
    <t>23-Jul</t>
  </si>
  <si>
    <t>24-Jul</t>
  </si>
  <si>
    <t>25-Jul</t>
  </si>
  <si>
    <t>26-Jul</t>
  </si>
  <si>
    <t>27-Jul</t>
  </si>
  <si>
    <t>28-Jul</t>
  </si>
  <si>
    <t>29-Jul</t>
  </si>
  <si>
    <t>30-Jul</t>
  </si>
  <si>
    <t>31-Jul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</si>
</sst>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4" x14ac:knownFonts="1">
    <font>
      <sz val="11"/>
      <color theme="1"/>
      <name val="Calibri"/>
      <family val="2"/>
      <scheme val="minor"/>
    </font>
    <font>
      <sz val="11"/>
      <color theme="6"/>
      <name val="Calibri"/>
      <family val="2"/>
      <scheme val="minor"/>
    </font>
    <font>
      <sz val="11"/>
      <color theme="1"/>
      <name val="Calibri"/>
      <family val="2"/>
      <scheme val="minor"/>
    </font>
    <font>
      <sz val="18"/>
      <color theme="1"/>
      <name val="Calibri"/>
      <family val="2"/>
      <scheme val="minor"/>
    </font>
  </fonts>
  <fills count="6">
    <fill>
      <patternFill patternType="none"/>
    </fill>
    <fill>
      <patternFill patternType="gray125"/>
    </fill>
    <fill>
      <patternFill patternType="solid">
        <fgColor theme="2" tint="-0.749992370372631"/>
        <bgColor indexed="64"/>
      </patternFill>
    </fill>
    <fill>
      <patternFill patternType="solid">
        <fgColor theme="2"/>
        <bgColor indexed="64"/>
      </patternFill>
    </fill>
    <fill>
      <patternFill patternType="solid">
        <fgColor theme="4"/>
        <bgColor indexed="64"/>
      </patternFill>
    </fill>
    <fill>
      <patternFill patternType="solid">
        <fgColor theme="0"/>
        <bgColor indexed="64"/>
      </patternFill>
    </fill>
  </fills>
  <borders count="2">
    <border>
      <left/>
      <right/>
      <top/>
      <bottom/>
      <diagonal/>
    </border>
    <border>
      <left/>
      <right style="thin">
        <color indexed="64"/>
      </right>
      <top/>
      <bottom/>
      <diagonal/>
    </border>
  </borders>
  <cellStyleXfs count="2">
    <xf numFmtId="0" fontId="0" fillId="0" borderId="0"/>
    <xf numFmtId="9" fontId="2" fillId="0" borderId="0" applyFont="0" applyFill="0" applyBorder="0" applyAlignment="0" applyProtection="0"/>
  </cellStyleXfs>
  <cellXfs count="19">
    <xf numFmtId="0" fontId="0" fillId="0" borderId="0" xfId="0"/>
    <xf numFmtId="0" fontId="0" fillId="0" borderId="0" xfId="0" pivotButton="1"/>
    <xf numFmtId="2" fontId="0" fillId="0" borderId="0" xfId="0" applyNumberFormat="1"/>
    <xf numFmtId="0" fontId="1" fillId="2" borderId="0" xfId="0" applyFont="1" applyFill="1"/>
    <xf numFmtId="0" fontId="0" fillId="0" borderId="0" xfId="0" applyAlignment="1">
      <alignment horizontal="left"/>
    </xf>
    <xf numFmtId="0" fontId="0" fillId="3" borderId="0" xfId="0" applyFill="1"/>
    <xf numFmtId="10" fontId="0" fillId="0" borderId="0" xfId="0" applyNumberFormat="1"/>
    <xf numFmtId="0" fontId="0" fillId="0" borderId="0" xfId="0" applyAlignment="1">
      <alignment horizontal="center"/>
    </xf>
    <xf numFmtId="0" fontId="0" fillId="5" borderId="0" xfId="0" applyFill="1"/>
    <xf numFmtId="0" fontId="0" fillId="4" borderId="0" xfId="0" applyFill="1" applyAlignment="1">
      <alignment horizontal="center"/>
    </xf>
    <xf numFmtId="1" fontId="0" fillId="0" borderId="0" xfId="0" applyNumberFormat="1"/>
    <xf numFmtId="9" fontId="0" fillId="0" borderId="0" xfId="1" applyFont="1" applyAlignment="1">
      <alignment horizontal="center"/>
    </xf>
    <xf numFmtId="0" fontId="0" fillId="4" borderId="0" xfId="0" applyFill="1" applyAlignment="1">
      <alignment horizontal="center"/>
    </xf>
    <xf numFmtId="0" fontId="0" fillId="4" borderId="1" xfId="0" applyFill="1" applyBorder="1" applyAlignment="1">
      <alignment horizontal="center"/>
    </xf>
    <xf numFmtId="0" fontId="0" fillId="0" borderId="0" xfId="0" applyAlignment="1">
      <alignment horizontal="center" vertical="center"/>
    </xf>
    <xf numFmtId="0" fontId="0" fillId="0" borderId="0" xfId="0" applyAlignment="1">
      <alignment horizontal="left" vertical="center"/>
    </xf>
    <xf numFmtId="0" fontId="3" fillId="0" borderId="0" xfId="0" applyFont="1" applyAlignment="1">
      <alignment horizontal="center" vertical="center"/>
    </xf>
    <xf numFmtId="0" fontId="3" fillId="0" borderId="0" xfId="0" applyFont="1" applyAlignment="1">
      <alignment horizontal="center"/>
    </xf>
    <xf numFmtId="0" fontId="0" fillId="0" borderId="0" xfId="0" applyNumberFormat="1"/>
  </cellXfs>
  <cellStyles count="2">
    <cellStyle name="Normal" xfId="0" builtinId="0"/>
    <cellStyle name="Percent" xfId="1" builtinId="5"/>
  </cellStyles>
  <dxfs count="97">
    <dxf>
      <numFmt numFmtId="2" formatCode="0.00"/>
    </dxf>
    <dxf>
      <numFmt numFmtId="2" formatCode="0.00"/>
    </dxf>
    <dxf>
      <numFmt numFmtId="1" formatCode="0"/>
    </dxf>
    <dxf>
      <numFmt numFmtId="2" formatCode="0.00"/>
    </dxf>
    <dxf>
      <numFmt numFmtId="1" formatCode="0"/>
    </dxf>
    <dxf>
      <numFmt numFmtId="2" formatCode="0.00"/>
    </dxf>
    <dxf>
      <numFmt numFmtId="14" formatCode="0.00%"/>
    </dxf>
    <dxf>
      <numFmt numFmtId="2" formatCode="0.00"/>
    </dxf>
    <dxf>
      <numFmt numFmtId="1" formatCode="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14" formatCode="0.00%"/>
    </dxf>
    <dxf>
      <numFmt numFmtId="2" formatCode="0.00"/>
    </dxf>
    <dxf>
      <numFmt numFmtId="1" formatCode="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14" formatCode="0.00%"/>
    </dxf>
    <dxf>
      <numFmt numFmtId="2" formatCode="0.00"/>
    </dxf>
    <dxf>
      <numFmt numFmtId="1" formatCode="0"/>
    </dxf>
    <dxf>
      <numFmt numFmtId="1" formatCode="0"/>
    </dxf>
    <dxf>
      <numFmt numFmtId="2" formatCode="0.00"/>
    </dxf>
    <dxf>
      <numFmt numFmtId="2" formatCode="0.00"/>
    </dxf>
    <dxf>
      <numFmt numFmtId="2" formatCode="0.00"/>
    </dxf>
    <dxf>
      <numFmt numFmtId="2" formatCode="0.00"/>
    </dxf>
    <dxf>
      <numFmt numFmtId="2" formatCode="0.00"/>
    </dxf>
    <dxf>
      <numFmt numFmtId="14" formatCode="0.00%"/>
    </dxf>
    <dxf>
      <numFmt numFmtId="2" formatCode="0.00"/>
    </dxf>
    <dxf>
      <numFmt numFmtId="1" formatCode="0"/>
    </dxf>
    <dxf>
      <numFmt numFmtId="1" formatCode="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14" formatCode="0.00%"/>
    </dxf>
    <dxf>
      <numFmt numFmtId="2" formatCode="0.00"/>
    </dxf>
    <dxf>
      <numFmt numFmtId="1" formatCode="0"/>
    </dxf>
    <dxf>
      <numFmt numFmtId="1" formatCode="0"/>
    </dxf>
    <dxf>
      <numFmt numFmtId="2" formatCode="0.00"/>
    </dxf>
    <dxf>
      <numFmt numFmtId="2" formatCode="0.00"/>
    </dxf>
    <dxf>
      <numFmt numFmtId="2" formatCode="0.00"/>
    </dxf>
    <dxf>
      <numFmt numFmtId="2" formatCode="0.00"/>
    </dxf>
    <dxf>
      <numFmt numFmtId="1" formatCode="0"/>
    </dxf>
    <dxf>
      <numFmt numFmtId="14" formatCode="0.00%"/>
    </dxf>
    <dxf>
      <numFmt numFmtId="2" formatCode="0.00"/>
    </dxf>
    <dxf>
      <numFmt numFmtId="1" formatCode="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1" formatCode="0"/>
    </dxf>
    <dxf>
      <numFmt numFmtId="2" formatCode="0.00"/>
    </dxf>
    <dxf>
      <fill>
        <patternFill>
          <bgColor theme="2"/>
        </patternFill>
      </fill>
      <border>
        <left style="thin">
          <color auto="1"/>
        </left>
        <right style="thin">
          <color auto="1"/>
        </right>
        <top style="thin">
          <color auto="1"/>
        </top>
        <bottom style="thin">
          <color auto="1"/>
        </bottom>
      </border>
    </dxf>
    <dxf>
      <font>
        <color theme="1"/>
      </font>
      <fill>
        <patternFill>
          <bgColor theme="2"/>
        </patternFill>
      </fill>
    </dxf>
    <dxf>
      <font>
        <color theme="2"/>
      </font>
    </dxf>
    <dxf>
      <font>
        <b/>
        <color theme="1"/>
      </font>
      <border>
        <bottom style="thin">
          <color theme="4"/>
        </bottom>
        <vertical/>
        <horizontal/>
      </border>
    </dxf>
    <dxf>
      <font>
        <color theme="4"/>
      </font>
      <border diagonalUp="0" diagonalDown="0">
        <left/>
        <right/>
        <top/>
        <bottom/>
        <vertical/>
        <horizontal/>
      </border>
    </dxf>
    <dxf>
      <font>
        <b/>
        <color theme="1"/>
      </font>
      <border>
        <bottom style="thin">
          <color theme="4"/>
        </bottom>
        <vertical/>
        <horizontal/>
      </border>
    </dxf>
    <dxf>
      <font>
        <sz val="6"/>
        <color theme="4"/>
      </font>
      <border>
        <left style="thin">
          <color theme="4"/>
        </left>
        <right style="thin">
          <color theme="4"/>
        </right>
        <top style="thin">
          <color theme="4"/>
        </top>
        <bottom style="thin">
          <color theme="4"/>
        </bottom>
        <vertical/>
        <horizontal/>
      </border>
    </dxf>
    <dxf>
      <font>
        <b/>
        <color theme="1"/>
      </font>
      <border>
        <bottom style="thin">
          <color theme="4"/>
        </bottom>
        <vertical/>
        <horizontal/>
      </border>
    </dxf>
    <dxf>
      <font>
        <color theme="4"/>
      </font>
      <border>
        <left style="thin">
          <color theme="4"/>
        </left>
        <right style="thin">
          <color theme="4"/>
        </right>
        <top style="thin">
          <color theme="4"/>
        </top>
        <bottom style="thin">
          <color theme="4"/>
        </bottom>
        <vertical/>
        <horizontal/>
      </border>
    </dxf>
    <dxf>
      <font>
        <b/>
        <color theme="1"/>
      </font>
      <border>
        <bottom style="thin">
          <color theme="4"/>
        </bottom>
        <vertical/>
        <horizontal/>
      </border>
    </dxf>
    <dxf>
      <font>
        <b/>
        <i/>
        <sz val="8"/>
        <color theme="4"/>
      </font>
      <border>
        <left style="thin">
          <color theme="4"/>
        </left>
        <right style="thin">
          <color theme="4"/>
        </right>
        <top style="thin">
          <color theme="4"/>
        </top>
        <bottom style="thin">
          <color theme="4"/>
        </bottom>
        <vertical/>
        <horizontal/>
      </border>
    </dxf>
    <dxf>
      <font>
        <b/>
        <color theme="1"/>
      </font>
      <border>
        <bottom style="thin">
          <color theme="4"/>
        </bottom>
        <vertical/>
        <horizontal/>
      </border>
    </dxf>
    <dxf>
      <font>
        <color theme="4"/>
      </font>
      <border>
        <left style="thin">
          <color theme="4"/>
        </left>
        <right style="thin">
          <color theme="4"/>
        </right>
        <top style="thin">
          <color theme="4"/>
        </top>
        <bottom style="thin">
          <color theme="4"/>
        </bottom>
        <vertical/>
        <horizontal/>
      </border>
    </dxf>
  </dxfs>
  <tableStyles count="8" defaultTableStyle="TableStyleMedium2" defaultPivotStyle="PivotStyleLight16">
    <tableStyle name="My_style" pivot="0" table="0" count="10" xr9:uid="{C305F99A-E1E4-4EA3-8F9F-A90BD8F0CA65}">
      <tableStyleElement type="wholeTable" dxfId="96"/>
      <tableStyleElement type="headerRow" dxfId="95"/>
    </tableStyle>
    <tableStyle name="My_style 2" pivot="0" table="0" count="10" xr9:uid="{45BE648A-3A8A-4321-95DD-B847000CF29E}">
      <tableStyleElement type="wholeTable" dxfId="94"/>
      <tableStyleElement type="headerRow" dxfId="93"/>
    </tableStyle>
    <tableStyle name="My_style 3" pivot="0" table="0" count="10" xr9:uid="{CDE002FC-B4CA-4515-8FC2-A5F2F0A9D094}">
      <tableStyleElement type="wholeTable" dxfId="92"/>
      <tableStyleElement type="headerRow" dxfId="91"/>
    </tableStyle>
    <tableStyle name="My_style 4" pivot="0" table="0" count="10" xr9:uid="{B5BA4D50-41CD-44B2-8CF8-078A3BF231A4}">
      <tableStyleElement type="wholeTable" dxfId="90"/>
      <tableStyleElement type="headerRow" dxfId="89"/>
    </tableStyle>
    <tableStyle name="My_style 5" pivot="0" table="0" count="10" xr9:uid="{C36A1D93-BE90-454B-A42C-003B4D552DF8}">
      <tableStyleElement type="wholeTable" dxfId="88"/>
      <tableStyleElement type="headerRow" dxfId="87"/>
    </tableStyle>
    <tableStyle name="Slicer Style 1" pivot="0" table="0" count="1" xr9:uid="{9A6C094E-71AC-47F2-AF89-933C17C7BF70}">
      <tableStyleElement type="wholeTable" dxfId="86"/>
    </tableStyle>
    <tableStyle name="Slicer Style 2" pivot="0" table="0" count="1" xr9:uid="{F38ED629-A8CD-42DC-A8CB-4FF0158DA442}">
      <tableStyleElement type="wholeTable" dxfId="85"/>
    </tableStyle>
    <tableStyle name="Slicer Style 3" pivot="0" table="0" count="1" xr9:uid="{2A5E7D66-9D72-4A23-99FF-71DA6D334440}">
      <tableStyleElement type="wholeTable" dxfId="84"/>
    </tableStyle>
  </tableStyles>
  <extLst>
    <ext xmlns:x14="http://schemas.microsoft.com/office/spreadsheetml/2009/9/main" uri="{46F421CA-312F-682f-3DD2-61675219B42D}">
      <x14:dxfs count="40">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My_style">
          <x14:slicerStyleElements>
            <x14:slicerStyleElement type="unselectedItemWithData" dxfId="39"/>
            <x14:slicerStyleElement type="unselectedItemWithNoData" dxfId="38"/>
            <x14:slicerStyleElement type="selectedItemWithData" dxfId="37"/>
            <x14:slicerStyleElement type="selectedItemWithNoData" dxfId="36"/>
            <x14:slicerStyleElement type="hoveredUnselectedItemWithData" dxfId="35"/>
            <x14:slicerStyleElement type="hoveredSelectedItemWithData" dxfId="34"/>
            <x14:slicerStyleElement type="hoveredUnselectedItemWithNoData" dxfId="33"/>
            <x14:slicerStyleElement type="hoveredSelectedItemWithNoData" dxfId="32"/>
          </x14:slicerStyleElements>
        </x14:slicerStyle>
        <x14:slicerStyle name="My_style 2">
          <x14:slicerStyleElements>
            <x14:slicerStyleElement type="unselectedItemWithData" dxfId="31"/>
            <x14:slicerStyleElement type="unselectedItemWithNoData" dxfId="30"/>
            <x14:slicerStyleElement type="selectedItemWithData" dxfId="29"/>
            <x14:slicerStyleElement type="selectedItemWithNoData" dxfId="28"/>
            <x14:slicerStyleElement type="hoveredUnselectedItemWithData" dxfId="27"/>
            <x14:slicerStyleElement type="hoveredSelectedItemWithData" dxfId="26"/>
            <x14:slicerStyleElement type="hoveredUnselectedItemWithNoData" dxfId="25"/>
            <x14:slicerStyleElement type="hoveredSelectedItemWithNoData" dxfId="24"/>
          </x14:slicerStyleElements>
        </x14:slicerStyle>
        <x14:slicerStyle name="My_style 3">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My_style 4">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My_style 5">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 name="Slicer Style 1"/>
        <x14:slicerStyle name="Slicer Style 2"/>
        <x14:slicerStyle name="Slicer Style 3"/>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26" Type="http://schemas.microsoft.com/office/2017/10/relationships/person" Target="persons/person.xml"/><Relationship Id="rId39" Type="http://schemas.openxmlformats.org/officeDocument/2006/relationships/customXml" Target="../customXml/item12.xml"/><Relationship Id="rId21" Type="http://schemas.openxmlformats.org/officeDocument/2006/relationships/theme" Target="theme/theme1.xml"/><Relationship Id="rId34" Type="http://schemas.openxmlformats.org/officeDocument/2006/relationships/customXml" Target="../customXml/item7.xml"/><Relationship Id="rId42" Type="http://schemas.openxmlformats.org/officeDocument/2006/relationships/customXml" Target="../customXml/item15.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sharedStrings" Target="sharedStrings.xml"/><Relationship Id="rId32" Type="http://schemas.openxmlformats.org/officeDocument/2006/relationships/customXml" Target="../customXml/item5.xml"/><Relationship Id="rId37" Type="http://schemas.openxmlformats.org/officeDocument/2006/relationships/customXml" Target="../customXml/item10.xml"/><Relationship Id="rId40" Type="http://schemas.openxmlformats.org/officeDocument/2006/relationships/customXml" Target="../customXml/item13.xml"/><Relationship Id="rId45" Type="http://schemas.openxmlformats.org/officeDocument/2006/relationships/customXml" Target="../customXml/item18.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styles" Target="styles.xml"/><Relationship Id="rId28" Type="http://schemas.openxmlformats.org/officeDocument/2006/relationships/customXml" Target="../customXml/item1.xml"/><Relationship Id="rId36" Type="http://schemas.openxmlformats.org/officeDocument/2006/relationships/customXml" Target="../customXml/item9.xml"/><Relationship Id="rId10" Type="http://schemas.openxmlformats.org/officeDocument/2006/relationships/pivotCacheDefinition" Target="pivotCache/pivotCacheDefinition5.xml"/><Relationship Id="rId19" Type="http://schemas.microsoft.com/office/2007/relationships/slicerCache" Target="slicerCaches/slicerCache1.xml"/><Relationship Id="rId31" Type="http://schemas.openxmlformats.org/officeDocument/2006/relationships/customXml" Target="../customXml/item4.xml"/><Relationship Id="rId44" Type="http://schemas.openxmlformats.org/officeDocument/2006/relationships/customXml" Target="../customXml/item17.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connections" Target="connections.xml"/><Relationship Id="rId27" Type="http://schemas.openxmlformats.org/officeDocument/2006/relationships/calcChain" Target="calcChain.xml"/><Relationship Id="rId30" Type="http://schemas.openxmlformats.org/officeDocument/2006/relationships/customXml" Target="../customXml/item3.xml"/><Relationship Id="rId35" Type="http://schemas.openxmlformats.org/officeDocument/2006/relationships/customXml" Target="../customXml/item8.xml"/><Relationship Id="rId43" Type="http://schemas.openxmlformats.org/officeDocument/2006/relationships/customXml" Target="../customXml/item16.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powerPivotData" Target="model/item.data"/><Relationship Id="rId33" Type="http://schemas.openxmlformats.org/officeDocument/2006/relationships/customXml" Target="../customXml/item6.xml"/><Relationship Id="rId38" Type="http://schemas.openxmlformats.org/officeDocument/2006/relationships/customXml" Target="../customXml/item11.xml"/><Relationship Id="rId20" Type="http://schemas.microsoft.com/office/2007/relationships/slicerCache" Target="slicerCaches/slicerCache2.xml"/><Relationship Id="rId41" Type="http://schemas.openxmlformats.org/officeDocument/2006/relationships/customXml" Target="../customXml/item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[Hospital_emergency_room_analytics_dashboard.xlsx]Pivot Report!PivotTable9</c:name>
    <c:fmtId val="2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41A5AACC-D6AC-4B82-9C74-637F81ECBACD}" type="CELLRANGE">
                  <a:rPr lang="en-US"/>
                  <a:pPr>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3"/>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7CD504A8-AC01-4AD7-AA3A-D9A64DE22D19}" type="CELLRANGE">
                  <a:rPr lang="en-US"/>
                  <a:pPr>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s>
    <c:plotArea>
      <c:layout>
        <c:manualLayout>
          <c:layoutTarget val="inner"/>
          <c:xMode val="edge"/>
          <c:yMode val="edge"/>
          <c:x val="0"/>
          <c:y val="0.27076896836441589"/>
          <c:w val="0.91940901150483967"/>
          <c:h val="0.45945945945945948"/>
        </c:manualLayout>
      </c:layout>
      <c:barChart>
        <c:barDir val="bar"/>
        <c:grouping val="clustered"/>
        <c:varyColors val="0"/>
        <c:ser>
          <c:idx val="0"/>
          <c:order val="0"/>
          <c:tx>
            <c:strRef>
              <c:f>'Pivot Report'!$C$37:$C$38</c:f>
              <c:strCache>
                <c:ptCount val="1"/>
                <c:pt idx="0">
                  <c:v>Count of Patient Admission Flag</c:v>
                </c:pt>
              </c:strCache>
            </c:strRef>
          </c:tx>
          <c:spPr>
            <a:solidFill>
              <a:schemeClr val="accent1"/>
            </a:solidFill>
            <a:ln>
              <a:noFill/>
            </a:ln>
            <a:effectLst/>
          </c:spPr>
          <c:invertIfNegative val="0"/>
          <c:dPt>
            <c:idx val="0"/>
            <c:invertIfNegative val="0"/>
            <c:bubble3D val="0"/>
          </c:dPt>
          <c:dPt>
            <c:idx val="1"/>
            <c:invertIfNegative val="0"/>
            <c:bubble3D val="0"/>
          </c:dPt>
          <c:dLbls>
            <c:dLbl>
              <c:idx val="0"/>
              <c:tx>
                <c:rich>
                  <a:bodyPr/>
                  <a:lstStyle/>
                  <a:p>
                    <a:fld id="{41A5AACC-D6AC-4B82-9C74-637F81ECBACD}" type="CELLRANGE">
                      <a:rPr lang="en-US"/>
                      <a:pPr/>
                      <a:t>[CELLRANGE]</a:t>
                    </a:fld>
                    <a:endParaRPr lang="en-IN"/>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Lst>
            </c:dLbl>
            <c:dLbl>
              <c:idx val="1"/>
              <c:tx>
                <c:rich>
                  <a:bodyPr/>
                  <a:lstStyle/>
                  <a:p>
                    <a:fld id="{7CD504A8-AC01-4AD7-AA3A-D9A64DE22D19}" type="CELLRANGE">
                      <a:rPr lang="en-US"/>
                      <a:pPr/>
                      <a:t>[CELLRANGE]</a:t>
                    </a:fld>
                    <a:endParaRPr lang="en-IN"/>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Report'!$C$37:$C$38</c:f>
              <c:strCache>
                <c:ptCount val="2"/>
                <c:pt idx="0">
                  <c:v>Admitted</c:v>
                </c:pt>
                <c:pt idx="1">
                  <c:v>Not Admitted</c:v>
                </c:pt>
              </c:strCache>
            </c:strRef>
          </c:cat>
          <c:val>
            <c:numRef>
              <c:f>'Pivot Report'!$C$37:$C$38</c:f>
              <c:numCache>
                <c:formatCode>0.00</c:formatCode>
                <c:ptCount val="2"/>
                <c:pt idx="0">
                  <c:v>266</c:v>
                </c:pt>
                <c:pt idx="1">
                  <c:v>222</c:v>
                </c:pt>
              </c:numCache>
            </c:numRef>
          </c:val>
          <c:extLst>
            <c:ext xmlns:c16="http://schemas.microsoft.com/office/drawing/2014/chart" uri="{C3380CC4-5D6E-409C-BE32-E72D297353CC}">
              <c16:uniqueId val="{00000002-98C3-4140-B951-927C9B5CAC34}"/>
            </c:ext>
          </c:extLst>
        </c:ser>
        <c:ser>
          <c:idx val="1"/>
          <c:order val="1"/>
          <c:tx>
            <c:strRef>
              <c:f>'Pivot Report'!$C$37:$C$38</c:f>
              <c:strCache>
                <c:ptCount val="1"/>
                <c:pt idx="0">
                  <c:v>Count of Patient Admission Flag2</c:v>
                </c:pt>
              </c:strCache>
            </c:strRef>
          </c:tx>
          <c:spPr>
            <a:solidFill>
              <a:schemeClr val="accent2"/>
            </a:solidFill>
            <a:ln>
              <a:noFill/>
            </a:ln>
            <a:effectLst/>
          </c:spPr>
          <c:invertIfNegative val="0"/>
          <c:cat>
            <c:strRef>
              <c:f>'Pivot Report'!$C$37:$C$38</c:f>
              <c:strCache>
                <c:ptCount val="2"/>
                <c:pt idx="0">
                  <c:v>Admitted</c:v>
                </c:pt>
                <c:pt idx="1">
                  <c:v>Not Admitted</c:v>
                </c:pt>
              </c:strCache>
            </c:strRef>
          </c:cat>
          <c:val>
            <c:numRef>
              <c:f>'Pivot Report'!$C$37:$C$38</c:f>
              <c:numCache>
                <c:formatCode>0.00%</c:formatCode>
                <c:ptCount val="2"/>
                <c:pt idx="0">
                  <c:v>0.54508196721311475</c:v>
                </c:pt>
                <c:pt idx="1">
                  <c:v>0.45491803278688525</c:v>
                </c:pt>
              </c:numCache>
            </c:numRef>
          </c:val>
          <c:extLst>
            <c:ext xmlns:c16="http://schemas.microsoft.com/office/drawing/2014/chart" uri="{C3380CC4-5D6E-409C-BE32-E72D297353CC}">
              <c16:uniqueId val="{00000003-98C3-4140-B951-927C9B5CAC34}"/>
            </c:ext>
          </c:extLst>
        </c:ser>
        <c:dLbls>
          <c:showLegendKey val="0"/>
          <c:showVal val="0"/>
          <c:showCatName val="0"/>
          <c:showSerName val="0"/>
          <c:showPercent val="0"/>
          <c:showBubbleSize val="0"/>
        </c:dLbls>
        <c:gapWidth val="182"/>
        <c:axId val="1429357791"/>
        <c:axId val="1429359711"/>
      </c:barChart>
      <c:catAx>
        <c:axId val="1429357791"/>
        <c:scaling>
          <c:orientation val="minMax"/>
        </c:scaling>
        <c:delete val="1"/>
        <c:axPos val="l"/>
        <c:numFmt formatCode="General" sourceLinked="1"/>
        <c:majorTickMark val="none"/>
        <c:minorTickMark val="none"/>
        <c:tickLblPos val="nextTo"/>
        <c:crossAx val="1429359711"/>
        <c:crosses val="autoZero"/>
        <c:auto val="1"/>
        <c:lblAlgn val="ctr"/>
        <c:lblOffset val="100"/>
        <c:noMultiLvlLbl val="0"/>
      </c:catAx>
      <c:valAx>
        <c:axId val="1429359711"/>
        <c:scaling>
          <c:orientation val="minMax"/>
        </c:scaling>
        <c:delete val="1"/>
        <c:axPos val="b"/>
        <c:numFmt formatCode="0.00" sourceLinked="1"/>
        <c:majorTickMark val="none"/>
        <c:minorTickMark val="none"/>
        <c:tickLblPos val="nextTo"/>
        <c:crossAx val="1429357791"/>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[Hospital_emergency_room_analytics_dashboard.xlsx]Pivot Report!PivotTable10</c:name>
    <c:fmtId val="37"/>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'Pivot Report'!$B$75</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Report'!$A$76:$A$78</c:f>
              <c:strCache>
                <c:ptCount val="2"/>
                <c:pt idx="0">
                  <c:v>Female</c:v>
                </c:pt>
                <c:pt idx="1">
                  <c:v>Male</c:v>
                </c:pt>
              </c:strCache>
            </c:strRef>
          </c:cat>
          <c:val>
            <c:numRef>
              <c:f>'Pivot Report'!$B$76:$B$78</c:f>
              <c:numCache>
                <c:formatCode>0</c:formatCode>
                <c:ptCount val="2"/>
                <c:pt idx="0">
                  <c:v>232</c:v>
                </c:pt>
                <c:pt idx="1">
                  <c:v>256</c:v>
                </c:pt>
              </c:numCache>
            </c:numRef>
          </c:val>
          <c:extLst>
            <c:ext xmlns:c16="http://schemas.microsoft.com/office/drawing/2014/chart" uri="{C3380CC4-5D6E-409C-BE32-E72D297353CC}">
              <c16:uniqueId val="{00000004-EE99-46C6-8583-B1C00141F992}"/>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[Hospital_emergency_room_analytics_dashboard.xlsx]Pivot Report!PivotTable5</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5889258700579814E-2"/>
          <c:y val="3.9779980073559151E-2"/>
          <c:w val="0.90541817758363419"/>
          <c:h val="0.49148837933996875"/>
        </c:manualLayout>
      </c:layout>
      <c:areaChart>
        <c:grouping val="standard"/>
        <c:varyColors val="0"/>
        <c:ser>
          <c:idx val="0"/>
          <c:order val="0"/>
          <c:tx>
            <c:strRef>
              <c:f>'Pivot Report'!$F$4</c:f>
              <c:strCache>
                <c:ptCount val="1"/>
                <c:pt idx="0">
                  <c:v>Total</c:v>
                </c:pt>
              </c:strCache>
            </c:strRef>
          </c:tx>
          <c:spPr>
            <a:solidFill>
              <a:schemeClr val="accent1"/>
            </a:solidFill>
            <a:ln w="25400">
              <a:noFill/>
            </a:ln>
            <a:effectLst/>
          </c:spPr>
          <c:cat>
            <c:strRef>
              <c:f>'Pivot Report'!$E$5:$E$36</c:f>
              <c:strCache>
                <c:ptCount val="31"/>
                <c:pt idx="0">
                  <c:v>1-Jul</c:v>
                </c:pt>
                <c:pt idx="1">
                  <c:v>2-Jul</c:v>
                </c:pt>
                <c:pt idx="2">
                  <c:v>3-Jul</c:v>
                </c:pt>
                <c:pt idx="3">
                  <c:v>4-Jul</c:v>
                </c:pt>
                <c:pt idx="4">
                  <c:v>5-Jul</c:v>
                </c:pt>
                <c:pt idx="5">
                  <c:v>6-Jul</c:v>
                </c:pt>
                <c:pt idx="6">
                  <c:v>7-Jul</c:v>
                </c:pt>
                <c:pt idx="7">
                  <c:v>8-Jul</c:v>
                </c:pt>
                <c:pt idx="8">
                  <c:v>9-Jul</c:v>
                </c:pt>
                <c:pt idx="9">
                  <c:v>10-Jul</c:v>
                </c:pt>
                <c:pt idx="10">
                  <c:v>11-Jul</c:v>
                </c:pt>
                <c:pt idx="11">
                  <c:v>12-Jul</c:v>
                </c:pt>
                <c:pt idx="12">
                  <c:v>13-Jul</c:v>
                </c:pt>
                <c:pt idx="13">
                  <c:v>14-Jul</c:v>
                </c:pt>
                <c:pt idx="14">
                  <c:v>15-Jul</c:v>
                </c:pt>
                <c:pt idx="15">
                  <c:v>16-Jul</c:v>
                </c:pt>
                <c:pt idx="16">
                  <c:v>17-Jul</c:v>
                </c:pt>
                <c:pt idx="17">
                  <c:v>18-Jul</c:v>
                </c:pt>
                <c:pt idx="18">
                  <c:v>19-Jul</c:v>
                </c:pt>
                <c:pt idx="19">
                  <c:v>20-Jul</c:v>
                </c:pt>
                <c:pt idx="20">
                  <c:v>21-Jul</c:v>
                </c:pt>
                <c:pt idx="21">
                  <c:v>22-Jul</c:v>
                </c:pt>
                <c:pt idx="22">
                  <c:v>23-Jul</c:v>
                </c:pt>
                <c:pt idx="23">
                  <c:v>24-Jul</c:v>
                </c:pt>
                <c:pt idx="24">
                  <c:v>25-Jul</c:v>
                </c:pt>
                <c:pt idx="25">
                  <c:v>26-Jul</c:v>
                </c:pt>
                <c:pt idx="26">
                  <c:v>27-Jul</c:v>
                </c:pt>
                <c:pt idx="27">
                  <c:v>28-Jul</c:v>
                </c:pt>
                <c:pt idx="28">
                  <c:v>29-Jul</c:v>
                </c:pt>
                <c:pt idx="29">
                  <c:v>30-Jul</c:v>
                </c:pt>
                <c:pt idx="30">
                  <c:v>31-Jul</c:v>
                </c:pt>
              </c:strCache>
            </c:strRef>
          </c:cat>
          <c:val>
            <c:numRef>
              <c:f>'Pivot Report'!$F$5:$F$36</c:f>
              <c:numCache>
                <c:formatCode>General</c:formatCode>
                <c:ptCount val="31"/>
                <c:pt idx="0">
                  <c:v>17</c:v>
                </c:pt>
                <c:pt idx="1">
                  <c:v>19</c:v>
                </c:pt>
                <c:pt idx="2">
                  <c:v>12</c:v>
                </c:pt>
                <c:pt idx="3">
                  <c:v>9</c:v>
                </c:pt>
                <c:pt idx="4">
                  <c:v>15</c:v>
                </c:pt>
                <c:pt idx="5">
                  <c:v>10</c:v>
                </c:pt>
                <c:pt idx="6">
                  <c:v>18</c:v>
                </c:pt>
                <c:pt idx="7">
                  <c:v>19</c:v>
                </c:pt>
                <c:pt idx="8">
                  <c:v>19</c:v>
                </c:pt>
                <c:pt idx="9">
                  <c:v>13</c:v>
                </c:pt>
                <c:pt idx="10">
                  <c:v>15</c:v>
                </c:pt>
                <c:pt idx="11">
                  <c:v>25</c:v>
                </c:pt>
                <c:pt idx="12">
                  <c:v>19</c:v>
                </c:pt>
                <c:pt idx="13">
                  <c:v>15</c:v>
                </c:pt>
                <c:pt idx="14">
                  <c:v>14</c:v>
                </c:pt>
                <c:pt idx="15">
                  <c:v>20</c:v>
                </c:pt>
                <c:pt idx="16">
                  <c:v>14</c:v>
                </c:pt>
                <c:pt idx="17">
                  <c:v>14</c:v>
                </c:pt>
                <c:pt idx="18">
                  <c:v>17</c:v>
                </c:pt>
                <c:pt idx="19">
                  <c:v>16</c:v>
                </c:pt>
                <c:pt idx="20">
                  <c:v>18</c:v>
                </c:pt>
                <c:pt idx="21">
                  <c:v>8</c:v>
                </c:pt>
                <c:pt idx="22">
                  <c:v>17</c:v>
                </c:pt>
                <c:pt idx="23">
                  <c:v>11</c:v>
                </c:pt>
                <c:pt idx="24">
                  <c:v>15</c:v>
                </c:pt>
                <c:pt idx="25">
                  <c:v>13</c:v>
                </c:pt>
                <c:pt idx="26">
                  <c:v>17</c:v>
                </c:pt>
                <c:pt idx="27">
                  <c:v>20</c:v>
                </c:pt>
                <c:pt idx="28">
                  <c:v>20</c:v>
                </c:pt>
                <c:pt idx="29">
                  <c:v>13</c:v>
                </c:pt>
                <c:pt idx="30">
                  <c:v>16</c:v>
                </c:pt>
              </c:numCache>
            </c:numRef>
          </c:val>
          <c:extLst>
            <c:ext xmlns:c16="http://schemas.microsoft.com/office/drawing/2014/chart" uri="{C3380CC4-5D6E-409C-BE32-E72D297353CC}">
              <c16:uniqueId val="{00000000-9C41-4BA9-9A26-377CF0FDA0BA}"/>
            </c:ext>
          </c:extLst>
        </c:ser>
        <c:dLbls>
          <c:showLegendKey val="0"/>
          <c:showVal val="0"/>
          <c:showCatName val="0"/>
          <c:showSerName val="0"/>
          <c:showPercent val="0"/>
          <c:showBubbleSize val="0"/>
        </c:dLbls>
        <c:axId val="2106305967"/>
        <c:axId val="2106299247"/>
      </c:areaChart>
      <c:catAx>
        <c:axId val="2106305967"/>
        <c:scaling>
          <c:orientation val="minMax"/>
        </c:scaling>
        <c:delete val="1"/>
        <c:axPos val="b"/>
        <c:numFmt formatCode="General" sourceLinked="1"/>
        <c:majorTickMark val="out"/>
        <c:minorTickMark val="none"/>
        <c:tickLblPos val="nextTo"/>
        <c:crossAx val="2106299247"/>
        <c:crosses val="autoZero"/>
        <c:auto val="1"/>
        <c:lblAlgn val="ctr"/>
        <c:lblOffset val="100"/>
        <c:noMultiLvlLbl val="0"/>
      </c:catAx>
      <c:valAx>
        <c:axId val="2106299247"/>
        <c:scaling>
          <c:orientation val="minMax"/>
        </c:scaling>
        <c:delete val="1"/>
        <c:axPos val="l"/>
        <c:numFmt formatCode="General" sourceLinked="1"/>
        <c:majorTickMark val="none"/>
        <c:minorTickMark val="none"/>
        <c:tickLblPos val="nextTo"/>
        <c:crossAx val="2106305967"/>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[Hospital_emergency_room_analytics_dashboard.xlsx]Pivot Report!PivotTable2</c:name>
    <c:fmtId val="1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Report'!$J$4</c:f>
              <c:strCache>
                <c:ptCount val="1"/>
                <c:pt idx="0">
                  <c:v>Total</c:v>
                </c:pt>
              </c:strCache>
            </c:strRef>
          </c:tx>
          <c:spPr>
            <a:solidFill>
              <a:schemeClr val="accent1"/>
            </a:solidFill>
            <a:ln w="25400">
              <a:noFill/>
            </a:ln>
            <a:effectLst/>
          </c:spPr>
          <c:cat>
            <c:strRef>
              <c:f>'Pivot Report'!$I$5:$I$36</c:f>
              <c:strCache>
                <c:ptCount val="31"/>
                <c:pt idx="0">
                  <c:v>1-Jul</c:v>
                </c:pt>
                <c:pt idx="1">
                  <c:v>2-Jul</c:v>
                </c:pt>
                <c:pt idx="2">
                  <c:v>3-Jul</c:v>
                </c:pt>
                <c:pt idx="3">
                  <c:v>4-Jul</c:v>
                </c:pt>
                <c:pt idx="4">
                  <c:v>5-Jul</c:v>
                </c:pt>
                <c:pt idx="5">
                  <c:v>6-Jul</c:v>
                </c:pt>
                <c:pt idx="6">
                  <c:v>7-Jul</c:v>
                </c:pt>
                <c:pt idx="7">
                  <c:v>8-Jul</c:v>
                </c:pt>
                <c:pt idx="8">
                  <c:v>9-Jul</c:v>
                </c:pt>
                <c:pt idx="9">
                  <c:v>10-Jul</c:v>
                </c:pt>
                <c:pt idx="10">
                  <c:v>11-Jul</c:v>
                </c:pt>
                <c:pt idx="11">
                  <c:v>12-Jul</c:v>
                </c:pt>
                <c:pt idx="12">
                  <c:v>13-Jul</c:v>
                </c:pt>
                <c:pt idx="13">
                  <c:v>14-Jul</c:v>
                </c:pt>
                <c:pt idx="14">
                  <c:v>15-Jul</c:v>
                </c:pt>
                <c:pt idx="15">
                  <c:v>16-Jul</c:v>
                </c:pt>
                <c:pt idx="16">
                  <c:v>17-Jul</c:v>
                </c:pt>
                <c:pt idx="17">
                  <c:v>18-Jul</c:v>
                </c:pt>
                <c:pt idx="18">
                  <c:v>19-Jul</c:v>
                </c:pt>
                <c:pt idx="19">
                  <c:v>20-Jul</c:v>
                </c:pt>
                <c:pt idx="20">
                  <c:v>21-Jul</c:v>
                </c:pt>
                <c:pt idx="21">
                  <c:v>22-Jul</c:v>
                </c:pt>
                <c:pt idx="22">
                  <c:v>23-Jul</c:v>
                </c:pt>
                <c:pt idx="23">
                  <c:v>24-Jul</c:v>
                </c:pt>
                <c:pt idx="24">
                  <c:v>25-Jul</c:v>
                </c:pt>
                <c:pt idx="25">
                  <c:v>26-Jul</c:v>
                </c:pt>
                <c:pt idx="26">
                  <c:v>27-Jul</c:v>
                </c:pt>
                <c:pt idx="27">
                  <c:v>28-Jul</c:v>
                </c:pt>
                <c:pt idx="28">
                  <c:v>29-Jul</c:v>
                </c:pt>
                <c:pt idx="29">
                  <c:v>30-Jul</c:v>
                </c:pt>
                <c:pt idx="30">
                  <c:v>31-Jul</c:v>
                </c:pt>
              </c:strCache>
            </c:strRef>
          </c:cat>
          <c:val>
            <c:numRef>
              <c:f>'Pivot Report'!$J$5:$J$36</c:f>
              <c:numCache>
                <c:formatCode>0.00</c:formatCode>
                <c:ptCount val="31"/>
                <c:pt idx="0">
                  <c:v>36.941176470588232</c:v>
                </c:pt>
                <c:pt idx="1">
                  <c:v>30.842105263157894</c:v>
                </c:pt>
                <c:pt idx="2">
                  <c:v>31.833333333333332</c:v>
                </c:pt>
                <c:pt idx="3">
                  <c:v>33.777777777777779</c:v>
                </c:pt>
                <c:pt idx="4">
                  <c:v>30.466666666666665</c:v>
                </c:pt>
                <c:pt idx="5">
                  <c:v>38.799999999999997</c:v>
                </c:pt>
                <c:pt idx="6">
                  <c:v>30.277777777777779</c:v>
                </c:pt>
                <c:pt idx="7">
                  <c:v>35.157894736842103</c:v>
                </c:pt>
                <c:pt idx="8">
                  <c:v>37.94736842105263</c:v>
                </c:pt>
                <c:pt idx="9">
                  <c:v>33.92307692307692</c:v>
                </c:pt>
                <c:pt idx="10">
                  <c:v>33.200000000000003</c:v>
                </c:pt>
                <c:pt idx="11">
                  <c:v>40.159999999999997</c:v>
                </c:pt>
                <c:pt idx="12">
                  <c:v>41.578947368421055</c:v>
                </c:pt>
                <c:pt idx="13">
                  <c:v>36.866666666666667</c:v>
                </c:pt>
                <c:pt idx="14">
                  <c:v>33.714285714285715</c:v>
                </c:pt>
                <c:pt idx="15">
                  <c:v>33.700000000000003</c:v>
                </c:pt>
                <c:pt idx="16">
                  <c:v>34.642857142857146</c:v>
                </c:pt>
                <c:pt idx="17">
                  <c:v>36.5</c:v>
                </c:pt>
                <c:pt idx="18">
                  <c:v>33.058823529411768</c:v>
                </c:pt>
                <c:pt idx="19">
                  <c:v>33.5625</c:v>
                </c:pt>
                <c:pt idx="20">
                  <c:v>31.555555555555557</c:v>
                </c:pt>
                <c:pt idx="21">
                  <c:v>38.375</c:v>
                </c:pt>
                <c:pt idx="22">
                  <c:v>35.411764705882355</c:v>
                </c:pt>
                <c:pt idx="23">
                  <c:v>34.909090909090907</c:v>
                </c:pt>
                <c:pt idx="24">
                  <c:v>35.133333333333333</c:v>
                </c:pt>
                <c:pt idx="25">
                  <c:v>35.07692307692308</c:v>
                </c:pt>
                <c:pt idx="26">
                  <c:v>35.352941176470587</c:v>
                </c:pt>
                <c:pt idx="27">
                  <c:v>36.6</c:v>
                </c:pt>
                <c:pt idx="28">
                  <c:v>35.799999999999997</c:v>
                </c:pt>
                <c:pt idx="29">
                  <c:v>30.307692307692307</c:v>
                </c:pt>
                <c:pt idx="30">
                  <c:v>42.75</c:v>
                </c:pt>
              </c:numCache>
            </c:numRef>
          </c:val>
          <c:extLst>
            <c:ext xmlns:c16="http://schemas.microsoft.com/office/drawing/2014/chart" uri="{C3380CC4-5D6E-409C-BE32-E72D297353CC}">
              <c16:uniqueId val="{00000000-8D37-455D-971D-94319E720890}"/>
            </c:ext>
          </c:extLst>
        </c:ser>
        <c:dLbls>
          <c:showLegendKey val="0"/>
          <c:showVal val="0"/>
          <c:showCatName val="0"/>
          <c:showSerName val="0"/>
          <c:showPercent val="0"/>
          <c:showBubbleSize val="0"/>
        </c:dLbls>
        <c:axId val="641563375"/>
        <c:axId val="641560495"/>
      </c:areaChart>
      <c:catAx>
        <c:axId val="641563375"/>
        <c:scaling>
          <c:orientation val="minMax"/>
        </c:scaling>
        <c:delete val="1"/>
        <c:axPos val="b"/>
        <c:numFmt formatCode="General" sourceLinked="1"/>
        <c:majorTickMark val="out"/>
        <c:minorTickMark val="none"/>
        <c:tickLblPos val="nextTo"/>
        <c:crossAx val="641560495"/>
        <c:crosses val="autoZero"/>
        <c:auto val="1"/>
        <c:lblAlgn val="ctr"/>
        <c:lblOffset val="100"/>
        <c:noMultiLvlLbl val="0"/>
      </c:catAx>
      <c:valAx>
        <c:axId val="641560495"/>
        <c:scaling>
          <c:orientation val="minMax"/>
        </c:scaling>
        <c:delete val="1"/>
        <c:axPos val="l"/>
        <c:numFmt formatCode="0.00" sourceLinked="1"/>
        <c:majorTickMark val="none"/>
        <c:minorTickMark val="none"/>
        <c:tickLblPos val="nextTo"/>
        <c:crossAx val="641563375"/>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[Hospital_emergency_room_analytics_dashboard.xlsx]Pivot Report!PivotTable6</c:name>
    <c:fmtId val="8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2169752349778946E-2"/>
          <c:y val="0.2010751836952063"/>
          <c:w val="0.82358504981165148"/>
          <c:h val="0.59784963260958746"/>
        </c:manualLayout>
      </c:layout>
      <c:areaChart>
        <c:grouping val="standard"/>
        <c:varyColors val="0"/>
        <c:ser>
          <c:idx val="0"/>
          <c:order val="0"/>
          <c:tx>
            <c:strRef>
              <c:f>'Pivot Report'!$N$4</c:f>
              <c:strCache>
                <c:ptCount val="1"/>
                <c:pt idx="0">
                  <c:v>Total</c:v>
                </c:pt>
              </c:strCache>
            </c:strRef>
          </c:tx>
          <c:spPr>
            <a:solidFill>
              <a:schemeClr val="accent1"/>
            </a:solidFill>
            <a:ln w="25400">
              <a:noFill/>
            </a:ln>
            <a:effectLst/>
          </c:spPr>
          <c:cat>
            <c:strRef>
              <c:f>'Pivot Report'!$M$5:$M$36</c:f>
              <c:strCache>
                <c:ptCount val="31"/>
                <c:pt idx="0">
                  <c:v>1-Jul</c:v>
                </c:pt>
                <c:pt idx="1">
                  <c:v>2-Jul</c:v>
                </c:pt>
                <c:pt idx="2">
                  <c:v>3-Jul</c:v>
                </c:pt>
                <c:pt idx="3">
                  <c:v>4-Jul</c:v>
                </c:pt>
                <c:pt idx="4">
                  <c:v>5-Jul</c:v>
                </c:pt>
                <c:pt idx="5">
                  <c:v>6-Jul</c:v>
                </c:pt>
                <c:pt idx="6">
                  <c:v>7-Jul</c:v>
                </c:pt>
                <c:pt idx="7">
                  <c:v>8-Jul</c:v>
                </c:pt>
                <c:pt idx="8">
                  <c:v>9-Jul</c:v>
                </c:pt>
                <c:pt idx="9">
                  <c:v>10-Jul</c:v>
                </c:pt>
                <c:pt idx="10">
                  <c:v>11-Jul</c:v>
                </c:pt>
                <c:pt idx="11">
                  <c:v>12-Jul</c:v>
                </c:pt>
                <c:pt idx="12">
                  <c:v>13-Jul</c:v>
                </c:pt>
                <c:pt idx="13">
                  <c:v>14-Jul</c:v>
                </c:pt>
                <c:pt idx="14">
                  <c:v>15-Jul</c:v>
                </c:pt>
                <c:pt idx="15">
                  <c:v>16-Jul</c:v>
                </c:pt>
                <c:pt idx="16">
                  <c:v>17-Jul</c:v>
                </c:pt>
                <c:pt idx="17">
                  <c:v>18-Jul</c:v>
                </c:pt>
                <c:pt idx="18">
                  <c:v>19-Jul</c:v>
                </c:pt>
                <c:pt idx="19">
                  <c:v>20-Jul</c:v>
                </c:pt>
                <c:pt idx="20">
                  <c:v>21-Jul</c:v>
                </c:pt>
                <c:pt idx="21">
                  <c:v>22-Jul</c:v>
                </c:pt>
                <c:pt idx="22">
                  <c:v>23-Jul</c:v>
                </c:pt>
                <c:pt idx="23">
                  <c:v>24-Jul</c:v>
                </c:pt>
                <c:pt idx="24">
                  <c:v>25-Jul</c:v>
                </c:pt>
                <c:pt idx="25">
                  <c:v>26-Jul</c:v>
                </c:pt>
                <c:pt idx="26">
                  <c:v>27-Jul</c:v>
                </c:pt>
                <c:pt idx="27">
                  <c:v>28-Jul</c:v>
                </c:pt>
                <c:pt idx="28">
                  <c:v>29-Jul</c:v>
                </c:pt>
                <c:pt idx="29">
                  <c:v>30-Jul</c:v>
                </c:pt>
                <c:pt idx="30">
                  <c:v>31-Jul</c:v>
                </c:pt>
              </c:strCache>
            </c:strRef>
          </c:cat>
          <c:val>
            <c:numRef>
              <c:f>'Pivot Report'!$N$5:$N$36</c:f>
              <c:numCache>
                <c:formatCode>0.00</c:formatCode>
                <c:ptCount val="31"/>
                <c:pt idx="0">
                  <c:v>4.125</c:v>
                </c:pt>
                <c:pt idx="1">
                  <c:v>5.333333333333333</c:v>
                </c:pt>
                <c:pt idx="2">
                  <c:v>4.75</c:v>
                </c:pt>
                <c:pt idx="3">
                  <c:v>2</c:v>
                </c:pt>
                <c:pt idx="4">
                  <c:v>8</c:v>
                </c:pt>
                <c:pt idx="5">
                  <c:v>3.5</c:v>
                </c:pt>
                <c:pt idx="6">
                  <c:v>7</c:v>
                </c:pt>
                <c:pt idx="7">
                  <c:v>3.5</c:v>
                </c:pt>
                <c:pt idx="8">
                  <c:v>6.4</c:v>
                </c:pt>
                <c:pt idx="9">
                  <c:v>3.5</c:v>
                </c:pt>
                <c:pt idx="10">
                  <c:v>6.5</c:v>
                </c:pt>
                <c:pt idx="11">
                  <c:v>5.2857142857142856</c:v>
                </c:pt>
                <c:pt idx="12">
                  <c:v>4.333333333333333</c:v>
                </c:pt>
                <c:pt idx="13">
                  <c:v>3</c:v>
                </c:pt>
                <c:pt idx="14">
                  <c:v>4.333333333333333</c:v>
                </c:pt>
                <c:pt idx="15">
                  <c:v>3.3333333333333335</c:v>
                </c:pt>
                <c:pt idx="16">
                  <c:v>2.5714285714285716</c:v>
                </c:pt>
                <c:pt idx="17">
                  <c:v>3.75</c:v>
                </c:pt>
                <c:pt idx="18">
                  <c:v>8.3333333333333339</c:v>
                </c:pt>
                <c:pt idx="19">
                  <c:v>3.75</c:v>
                </c:pt>
                <c:pt idx="20">
                  <c:v>4.666666666666667</c:v>
                </c:pt>
                <c:pt idx="21">
                  <c:v>5</c:v>
                </c:pt>
                <c:pt idx="22">
                  <c:v>4.333333333333333</c:v>
                </c:pt>
                <c:pt idx="23">
                  <c:v>4.666666666666667</c:v>
                </c:pt>
                <c:pt idx="24">
                  <c:v>4.5</c:v>
                </c:pt>
                <c:pt idx="25">
                  <c:v>6</c:v>
                </c:pt>
                <c:pt idx="26">
                  <c:v>6.8888888888888893</c:v>
                </c:pt>
                <c:pt idx="27">
                  <c:v>6.5714285714285712</c:v>
                </c:pt>
                <c:pt idx="28">
                  <c:v>4.0999999999999996</c:v>
                </c:pt>
                <c:pt idx="29">
                  <c:v>5</c:v>
                </c:pt>
                <c:pt idx="30">
                  <c:v>5.4</c:v>
                </c:pt>
              </c:numCache>
            </c:numRef>
          </c:val>
          <c:extLst>
            <c:ext xmlns:c16="http://schemas.microsoft.com/office/drawing/2014/chart" uri="{C3380CC4-5D6E-409C-BE32-E72D297353CC}">
              <c16:uniqueId val="{00000000-9988-4781-926C-936298B58417}"/>
            </c:ext>
          </c:extLst>
        </c:ser>
        <c:dLbls>
          <c:showLegendKey val="0"/>
          <c:showVal val="0"/>
          <c:showCatName val="0"/>
          <c:showSerName val="0"/>
          <c:showPercent val="0"/>
          <c:showBubbleSize val="0"/>
        </c:dLbls>
        <c:axId val="1311613279"/>
        <c:axId val="1311610879"/>
      </c:areaChart>
      <c:catAx>
        <c:axId val="1311613279"/>
        <c:scaling>
          <c:orientation val="minMax"/>
        </c:scaling>
        <c:delete val="1"/>
        <c:axPos val="b"/>
        <c:numFmt formatCode="General" sourceLinked="1"/>
        <c:majorTickMark val="out"/>
        <c:minorTickMark val="none"/>
        <c:tickLblPos val="nextTo"/>
        <c:crossAx val="1311610879"/>
        <c:crosses val="autoZero"/>
        <c:auto val="1"/>
        <c:lblAlgn val="ctr"/>
        <c:lblOffset val="100"/>
        <c:noMultiLvlLbl val="0"/>
      </c:catAx>
      <c:valAx>
        <c:axId val="1311610879"/>
        <c:scaling>
          <c:orientation val="minMax"/>
        </c:scaling>
        <c:delete val="1"/>
        <c:axPos val="l"/>
        <c:numFmt formatCode="0.00" sourceLinked="1"/>
        <c:majorTickMark val="none"/>
        <c:minorTickMark val="none"/>
        <c:tickLblPos val="nextTo"/>
        <c:crossAx val="1311613279"/>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[Hospital_emergency_room_analytics_dashboard.xlsx]Pivot Report!PivotTable7</c:name>
    <c:fmtId val="2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Report'!$B$56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Report'!$A$57:$A$65</c:f>
              <c:strCache>
                <c:ptCount val="8"/>
                <c:pt idx="0">
                  <c:v>0-09</c:v>
                </c:pt>
                <c:pt idx="1">
                  <c:v>10-19</c:v>
                </c:pt>
                <c:pt idx="2">
                  <c:v>20-29</c:v>
                </c:pt>
                <c:pt idx="3">
                  <c:v>30-39</c:v>
                </c:pt>
                <c:pt idx="4">
                  <c:v>40-49</c:v>
                </c:pt>
                <c:pt idx="5">
                  <c:v>50-59</c:v>
                </c:pt>
                <c:pt idx="6">
                  <c:v>60-69</c:v>
                </c:pt>
                <c:pt idx="7">
                  <c:v>70-79</c:v>
                </c:pt>
              </c:strCache>
            </c:strRef>
          </c:cat>
          <c:val>
            <c:numRef>
              <c:f>'Pivot Report'!$B$57:$B$65</c:f>
              <c:numCache>
                <c:formatCode>0</c:formatCode>
                <c:ptCount val="8"/>
                <c:pt idx="0">
                  <c:v>62</c:v>
                </c:pt>
                <c:pt idx="1">
                  <c:v>73</c:v>
                </c:pt>
                <c:pt idx="2">
                  <c:v>49</c:v>
                </c:pt>
                <c:pt idx="3">
                  <c:v>44</c:v>
                </c:pt>
                <c:pt idx="4">
                  <c:v>72</c:v>
                </c:pt>
                <c:pt idx="5">
                  <c:v>71</c:v>
                </c:pt>
                <c:pt idx="6">
                  <c:v>59</c:v>
                </c:pt>
                <c:pt idx="7">
                  <c:v>58</c:v>
                </c:pt>
              </c:numCache>
            </c:numRef>
          </c:val>
          <c:extLst>
            <c:ext xmlns:c16="http://schemas.microsoft.com/office/drawing/2014/chart" uri="{C3380CC4-5D6E-409C-BE32-E72D297353CC}">
              <c16:uniqueId val="{00000000-46E8-45A0-AEA0-C88E2016DBD5}"/>
            </c:ext>
          </c:extLst>
        </c:ser>
        <c:dLbls>
          <c:showLegendKey val="0"/>
          <c:showVal val="0"/>
          <c:showCatName val="0"/>
          <c:showSerName val="0"/>
          <c:showPercent val="0"/>
          <c:showBubbleSize val="0"/>
        </c:dLbls>
        <c:gapWidth val="219"/>
        <c:overlap val="-27"/>
        <c:axId val="2089016592"/>
        <c:axId val="2089018032"/>
      </c:barChart>
      <c:catAx>
        <c:axId val="20890165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9018032"/>
        <c:crosses val="autoZero"/>
        <c:auto val="1"/>
        <c:lblAlgn val="ctr"/>
        <c:lblOffset val="100"/>
        <c:noMultiLvlLbl val="0"/>
      </c:catAx>
      <c:valAx>
        <c:axId val="2089018032"/>
        <c:scaling>
          <c:orientation val="minMax"/>
        </c:scaling>
        <c:delete val="1"/>
        <c:axPos val="l"/>
        <c:numFmt formatCode="0" sourceLinked="1"/>
        <c:majorTickMark val="none"/>
        <c:minorTickMark val="none"/>
        <c:tickLblPos val="nextTo"/>
        <c:crossAx val="20890165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[Hospital_emergency_room_analytics_dashboard.xlsx]Pivot Report!PivotTable8</c:name>
    <c:fmtId val="3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strRef>
              <c:f>'Pivot Report'!$B$68</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Report'!$A$69:$A$71</c:f>
              <c:strCache>
                <c:ptCount val="2"/>
                <c:pt idx="0">
                  <c:v>Delay</c:v>
                </c:pt>
                <c:pt idx="1">
                  <c:v>On time</c:v>
                </c:pt>
              </c:strCache>
            </c:strRef>
          </c:cat>
          <c:val>
            <c:numRef>
              <c:f>'Pivot Report'!$B$69:$B$71</c:f>
              <c:numCache>
                <c:formatCode>0</c:formatCode>
                <c:ptCount val="2"/>
                <c:pt idx="0">
                  <c:v>288</c:v>
                </c:pt>
                <c:pt idx="1">
                  <c:v>200</c:v>
                </c:pt>
              </c:numCache>
            </c:numRef>
          </c:val>
          <c:extLst>
            <c:ext xmlns:c16="http://schemas.microsoft.com/office/drawing/2014/chart" uri="{C3380CC4-5D6E-409C-BE32-E72D297353CC}">
              <c16:uniqueId val="{00000004-7C62-4A0B-86DE-AC8790FE1A26}"/>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
          <c:y val="5.2178014810484105E-3"/>
          <c:w val="0.30755633618595613"/>
          <c:h val="0.3831863177628244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[Hospital_emergency_room_analytics_dashboard.xlsx]Pivot Report!PivotTable10</c:name>
    <c:fmtId val="4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31769940532207896"/>
                  <c:h val="0.31723170356703567"/>
                </c:manualLayout>
              </c15:layout>
            </c:ext>
          </c:extLst>
        </c:dLbl>
      </c:pivotFmt>
      <c:pivotFmt>
        <c:idx val="6"/>
        <c:spPr>
          <a:solidFill>
            <a:schemeClr val="accent1"/>
          </a:solidFill>
          <a:ln w="19050">
            <a:solidFill>
              <a:schemeClr val="lt1"/>
            </a:solidFill>
          </a:ln>
          <a:effectLst/>
        </c:spPr>
      </c:pivotFmt>
    </c:pivotFmts>
    <c:plotArea>
      <c:layout>
        <c:manualLayout>
          <c:layoutTarget val="inner"/>
          <c:xMode val="edge"/>
          <c:yMode val="edge"/>
          <c:x val="0.22988262604070059"/>
          <c:y val="0.24716952522467514"/>
          <c:w val="0.67241526810609409"/>
          <c:h val="0.58570279820222815"/>
        </c:manualLayout>
      </c:layout>
      <c:doughnutChart>
        <c:varyColors val="1"/>
        <c:ser>
          <c:idx val="0"/>
          <c:order val="0"/>
          <c:tx>
            <c:strRef>
              <c:f>'Pivot Report'!$B$75</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Lbls>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31769940532207896"/>
                      <c:h val="0.31723170356703567"/>
                    </c:manualLayout>
                  </c15:layout>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Report'!$A$76:$A$78</c:f>
              <c:strCache>
                <c:ptCount val="2"/>
                <c:pt idx="0">
                  <c:v>Female</c:v>
                </c:pt>
                <c:pt idx="1">
                  <c:v>Male</c:v>
                </c:pt>
              </c:strCache>
            </c:strRef>
          </c:cat>
          <c:val>
            <c:numRef>
              <c:f>'Pivot Report'!$B$76:$B$78</c:f>
              <c:numCache>
                <c:formatCode>0</c:formatCode>
                <c:ptCount val="2"/>
                <c:pt idx="0">
                  <c:v>232</c:v>
                </c:pt>
                <c:pt idx="1">
                  <c:v>256</c:v>
                </c:pt>
              </c:numCache>
            </c:numRef>
          </c:val>
          <c:extLst>
            <c:ext xmlns:c16="http://schemas.microsoft.com/office/drawing/2014/chart" uri="{C3380CC4-5D6E-409C-BE32-E72D297353CC}">
              <c16:uniqueId val="{00000004-8AAE-498E-AC5E-07E28F697D50}"/>
            </c:ext>
          </c:extLst>
        </c:ser>
        <c:dLbls>
          <c:showLegendKey val="0"/>
          <c:showVal val="0"/>
          <c:showCatName val="0"/>
          <c:showSerName val="0"/>
          <c:showPercent val="0"/>
          <c:showBubbleSize val="0"/>
          <c:showLeaderLines val="1"/>
        </c:dLbls>
        <c:firstSliceAng val="0"/>
        <c:holeSize val="42"/>
      </c:doughnutChart>
      <c:spPr>
        <a:noFill/>
        <a:ln>
          <a:noFill/>
        </a:ln>
        <a:effectLst/>
      </c:spPr>
    </c:plotArea>
    <c:legend>
      <c:legendPos val="r"/>
      <c:layout>
        <c:manualLayout>
          <c:xMode val="edge"/>
          <c:yMode val="edge"/>
          <c:x val="0.22625940507436568"/>
          <c:y val="5.7815689705453398E-4"/>
          <c:w val="0.33433448940003252"/>
          <c:h val="0.5643895900493400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[Hospital_emergency_room_analytics_dashboard.xlsx]Pivot Report!PivotTable11</c:name>
    <c:fmtId val="4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Report'!$B$80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Report'!$A$81:$A$89</c:f>
              <c:strCache>
                <c:ptCount val="8"/>
                <c:pt idx="0">
                  <c:v>Renal</c:v>
                </c:pt>
                <c:pt idx="1">
                  <c:v>Neurology</c:v>
                </c:pt>
                <c:pt idx="2">
                  <c:v>Cardiology</c:v>
                </c:pt>
                <c:pt idx="3">
                  <c:v>Gastroenterology</c:v>
                </c:pt>
                <c:pt idx="4">
                  <c:v>Physiotherapy</c:v>
                </c:pt>
                <c:pt idx="5">
                  <c:v>Orthopedics</c:v>
                </c:pt>
                <c:pt idx="6">
                  <c:v>General Practice</c:v>
                </c:pt>
                <c:pt idx="7">
                  <c:v>None</c:v>
                </c:pt>
              </c:strCache>
            </c:strRef>
          </c:cat>
          <c:val>
            <c:numRef>
              <c:f>'Pivot Report'!$B$81:$B$89</c:f>
              <c:numCache>
                <c:formatCode>0</c:formatCode>
                <c:ptCount val="8"/>
                <c:pt idx="0">
                  <c:v>4</c:v>
                </c:pt>
                <c:pt idx="1">
                  <c:v>7</c:v>
                </c:pt>
                <c:pt idx="2">
                  <c:v>11</c:v>
                </c:pt>
                <c:pt idx="3">
                  <c:v>11</c:v>
                </c:pt>
                <c:pt idx="4">
                  <c:v>12</c:v>
                </c:pt>
                <c:pt idx="5">
                  <c:v>60</c:v>
                </c:pt>
                <c:pt idx="6">
                  <c:v>93</c:v>
                </c:pt>
                <c:pt idx="7">
                  <c:v>290</c:v>
                </c:pt>
              </c:numCache>
            </c:numRef>
          </c:val>
          <c:extLst>
            <c:ext xmlns:c16="http://schemas.microsoft.com/office/drawing/2014/chart" uri="{C3380CC4-5D6E-409C-BE32-E72D297353CC}">
              <c16:uniqueId val="{00000000-DB53-40C4-987B-FE4B008B18E2}"/>
            </c:ext>
          </c:extLst>
        </c:ser>
        <c:dLbls>
          <c:showLegendKey val="0"/>
          <c:showVal val="0"/>
          <c:showCatName val="0"/>
          <c:showSerName val="0"/>
          <c:showPercent val="0"/>
          <c:showBubbleSize val="0"/>
        </c:dLbls>
        <c:gapWidth val="182"/>
        <c:axId val="1375573231"/>
        <c:axId val="1375564591"/>
      </c:barChart>
      <c:catAx>
        <c:axId val="137557323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5564591"/>
        <c:crosses val="autoZero"/>
        <c:auto val="1"/>
        <c:lblAlgn val="ctr"/>
        <c:lblOffset val="100"/>
        <c:noMultiLvlLbl val="0"/>
      </c:catAx>
      <c:valAx>
        <c:axId val="1375564591"/>
        <c:scaling>
          <c:orientation val="minMax"/>
        </c:scaling>
        <c:delete val="1"/>
        <c:axPos val="b"/>
        <c:numFmt formatCode="0" sourceLinked="1"/>
        <c:majorTickMark val="none"/>
        <c:minorTickMark val="none"/>
        <c:tickLblPos val="nextTo"/>
        <c:crossAx val="1375573231"/>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[Hospital_emergency_room_analytics_dashboard.xlsx]Pivot Report!PivotTable2</c:name>
    <c:fmtId val="16"/>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Report'!$J$4</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Report'!$I$5:$I$36</c:f>
              <c:strCache>
                <c:ptCount val="31"/>
                <c:pt idx="0">
                  <c:v>1-Jul</c:v>
                </c:pt>
                <c:pt idx="1">
                  <c:v>2-Jul</c:v>
                </c:pt>
                <c:pt idx="2">
                  <c:v>3-Jul</c:v>
                </c:pt>
                <c:pt idx="3">
                  <c:v>4-Jul</c:v>
                </c:pt>
                <c:pt idx="4">
                  <c:v>5-Jul</c:v>
                </c:pt>
                <c:pt idx="5">
                  <c:v>6-Jul</c:v>
                </c:pt>
                <c:pt idx="6">
                  <c:v>7-Jul</c:v>
                </c:pt>
                <c:pt idx="7">
                  <c:v>8-Jul</c:v>
                </c:pt>
                <c:pt idx="8">
                  <c:v>9-Jul</c:v>
                </c:pt>
                <c:pt idx="9">
                  <c:v>10-Jul</c:v>
                </c:pt>
                <c:pt idx="10">
                  <c:v>11-Jul</c:v>
                </c:pt>
                <c:pt idx="11">
                  <c:v>12-Jul</c:v>
                </c:pt>
                <c:pt idx="12">
                  <c:v>13-Jul</c:v>
                </c:pt>
                <c:pt idx="13">
                  <c:v>14-Jul</c:v>
                </c:pt>
                <c:pt idx="14">
                  <c:v>15-Jul</c:v>
                </c:pt>
                <c:pt idx="15">
                  <c:v>16-Jul</c:v>
                </c:pt>
                <c:pt idx="16">
                  <c:v>17-Jul</c:v>
                </c:pt>
                <c:pt idx="17">
                  <c:v>18-Jul</c:v>
                </c:pt>
                <c:pt idx="18">
                  <c:v>19-Jul</c:v>
                </c:pt>
                <c:pt idx="19">
                  <c:v>20-Jul</c:v>
                </c:pt>
                <c:pt idx="20">
                  <c:v>21-Jul</c:v>
                </c:pt>
                <c:pt idx="21">
                  <c:v>22-Jul</c:v>
                </c:pt>
                <c:pt idx="22">
                  <c:v>23-Jul</c:v>
                </c:pt>
                <c:pt idx="23">
                  <c:v>24-Jul</c:v>
                </c:pt>
                <c:pt idx="24">
                  <c:v>25-Jul</c:v>
                </c:pt>
                <c:pt idx="25">
                  <c:v>26-Jul</c:v>
                </c:pt>
                <c:pt idx="26">
                  <c:v>27-Jul</c:v>
                </c:pt>
                <c:pt idx="27">
                  <c:v>28-Jul</c:v>
                </c:pt>
                <c:pt idx="28">
                  <c:v>29-Jul</c:v>
                </c:pt>
                <c:pt idx="29">
                  <c:v>30-Jul</c:v>
                </c:pt>
                <c:pt idx="30">
                  <c:v>31-Jul</c:v>
                </c:pt>
              </c:strCache>
            </c:strRef>
          </c:cat>
          <c:val>
            <c:numRef>
              <c:f>'Pivot Report'!$J$5:$J$36</c:f>
              <c:numCache>
                <c:formatCode>0.00</c:formatCode>
                <c:ptCount val="31"/>
                <c:pt idx="0">
                  <c:v>36.941176470588232</c:v>
                </c:pt>
                <c:pt idx="1">
                  <c:v>30.842105263157894</c:v>
                </c:pt>
                <c:pt idx="2">
                  <c:v>31.833333333333332</c:v>
                </c:pt>
                <c:pt idx="3">
                  <c:v>33.777777777777779</c:v>
                </c:pt>
                <c:pt idx="4">
                  <c:v>30.466666666666665</c:v>
                </c:pt>
                <c:pt idx="5">
                  <c:v>38.799999999999997</c:v>
                </c:pt>
                <c:pt idx="6">
                  <c:v>30.277777777777779</c:v>
                </c:pt>
                <c:pt idx="7">
                  <c:v>35.157894736842103</c:v>
                </c:pt>
                <c:pt idx="8">
                  <c:v>37.94736842105263</c:v>
                </c:pt>
                <c:pt idx="9">
                  <c:v>33.92307692307692</c:v>
                </c:pt>
                <c:pt idx="10">
                  <c:v>33.200000000000003</c:v>
                </c:pt>
                <c:pt idx="11">
                  <c:v>40.159999999999997</c:v>
                </c:pt>
                <c:pt idx="12">
                  <c:v>41.578947368421055</c:v>
                </c:pt>
                <c:pt idx="13">
                  <c:v>36.866666666666667</c:v>
                </c:pt>
                <c:pt idx="14">
                  <c:v>33.714285714285715</c:v>
                </c:pt>
                <c:pt idx="15">
                  <c:v>33.700000000000003</c:v>
                </c:pt>
                <c:pt idx="16">
                  <c:v>34.642857142857146</c:v>
                </c:pt>
                <c:pt idx="17">
                  <c:v>36.5</c:v>
                </c:pt>
                <c:pt idx="18">
                  <c:v>33.058823529411768</c:v>
                </c:pt>
                <c:pt idx="19">
                  <c:v>33.5625</c:v>
                </c:pt>
                <c:pt idx="20">
                  <c:v>31.555555555555557</c:v>
                </c:pt>
                <c:pt idx="21">
                  <c:v>38.375</c:v>
                </c:pt>
                <c:pt idx="22">
                  <c:v>35.411764705882355</c:v>
                </c:pt>
                <c:pt idx="23">
                  <c:v>34.909090909090907</c:v>
                </c:pt>
                <c:pt idx="24">
                  <c:v>35.133333333333333</c:v>
                </c:pt>
                <c:pt idx="25">
                  <c:v>35.07692307692308</c:v>
                </c:pt>
                <c:pt idx="26">
                  <c:v>35.352941176470587</c:v>
                </c:pt>
                <c:pt idx="27">
                  <c:v>36.6</c:v>
                </c:pt>
                <c:pt idx="28">
                  <c:v>35.799999999999997</c:v>
                </c:pt>
                <c:pt idx="29">
                  <c:v>30.307692307692307</c:v>
                </c:pt>
                <c:pt idx="30">
                  <c:v>42.75</c:v>
                </c:pt>
              </c:numCache>
            </c:numRef>
          </c:val>
          <c:extLst>
            <c:ext xmlns:c16="http://schemas.microsoft.com/office/drawing/2014/chart" uri="{C3380CC4-5D6E-409C-BE32-E72D297353CC}">
              <c16:uniqueId val="{00000000-C88B-488A-82A3-BAF3F8D66C79}"/>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641563375"/>
        <c:axId val="641560495"/>
      </c:areaChart>
      <c:catAx>
        <c:axId val="641563375"/>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641560495"/>
        <c:crosses val="autoZero"/>
        <c:auto val="1"/>
        <c:lblAlgn val="ctr"/>
        <c:lblOffset val="100"/>
        <c:noMultiLvlLbl val="0"/>
      </c:catAx>
      <c:valAx>
        <c:axId val="641560495"/>
        <c:scaling>
          <c:orientation val="minMax"/>
        </c:scaling>
        <c:delete val="1"/>
        <c:axPos val="l"/>
        <c:numFmt formatCode="0.00" sourceLinked="1"/>
        <c:majorTickMark val="out"/>
        <c:minorTickMark val="none"/>
        <c:tickLblPos val="nextTo"/>
        <c:crossAx val="641563375"/>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[Hospital_emergency_room_analytics_dashboard.xlsx]Pivot Report!PivotTable5</c:name>
    <c:fmtId val="6"/>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5889258700579814E-2"/>
          <c:y val="0.14870371237700275"/>
          <c:w val="0.90541817758363419"/>
          <c:h val="0.38256451633505489"/>
        </c:manualLayout>
      </c:layout>
      <c:areaChart>
        <c:grouping val="standard"/>
        <c:varyColors val="0"/>
        <c:ser>
          <c:idx val="0"/>
          <c:order val="0"/>
          <c:tx>
            <c:strRef>
              <c:f>'Pivot Report'!$F$4</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Report'!$E$5:$E$36</c:f>
              <c:strCache>
                <c:ptCount val="31"/>
                <c:pt idx="0">
                  <c:v>1-Jul</c:v>
                </c:pt>
                <c:pt idx="1">
                  <c:v>2-Jul</c:v>
                </c:pt>
                <c:pt idx="2">
                  <c:v>3-Jul</c:v>
                </c:pt>
                <c:pt idx="3">
                  <c:v>4-Jul</c:v>
                </c:pt>
                <c:pt idx="4">
                  <c:v>5-Jul</c:v>
                </c:pt>
                <c:pt idx="5">
                  <c:v>6-Jul</c:v>
                </c:pt>
                <c:pt idx="6">
                  <c:v>7-Jul</c:v>
                </c:pt>
                <c:pt idx="7">
                  <c:v>8-Jul</c:v>
                </c:pt>
                <c:pt idx="8">
                  <c:v>9-Jul</c:v>
                </c:pt>
                <c:pt idx="9">
                  <c:v>10-Jul</c:v>
                </c:pt>
                <c:pt idx="10">
                  <c:v>11-Jul</c:v>
                </c:pt>
                <c:pt idx="11">
                  <c:v>12-Jul</c:v>
                </c:pt>
                <c:pt idx="12">
                  <c:v>13-Jul</c:v>
                </c:pt>
                <c:pt idx="13">
                  <c:v>14-Jul</c:v>
                </c:pt>
                <c:pt idx="14">
                  <c:v>15-Jul</c:v>
                </c:pt>
                <c:pt idx="15">
                  <c:v>16-Jul</c:v>
                </c:pt>
                <c:pt idx="16">
                  <c:v>17-Jul</c:v>
                </c:pt>
                <c:pt idx="17">
                  <c:v>18-Jul</c:v>
                </c:pt>
                <c:pt idx="18">
                  <c:v>19-Jul</c:v>
                </c:pt>
                <c:pt idx="19">
                  <c:v>20-Jul</c:v>
                </c:pt>
                <c:pt idx="20">
                  <c:v>21-Jul</c:v>
                </c:pt>
                <c:pt idx="21">
                  <c:v>22-Jul</c:v>
                </c:pt>
                <c:pt idx="22">
                  <c:v>23-Jul</c:v>
                </c:pt>
                <c:pt idx="23">
                  <c:v>24-Jul</c:v>
                </c:pt>
                <c:pt idx="24">
                  <c:v>25-Jul</c:v>
                </c:pt>
                <c:pt idx="25">
                  <c:v>26-Jul</c:v>
                </c:pt>
                <c:pt idx="26">
                  <c:v>27-Jul</c:v>
                </c:pt>
                <c:pt idx="27">
                  <c:v>28-Jul</c:v>
                </c:pt>
                <c:pt idx="28">
                  <c:v>29-Jul</c:v>
                </c:pt>
                <c:pt idx="29">
                  <c:v>30-Jul</c:v>
                </c:pt>
                <c:pt idx="30">
                  <c:v>31-Jul</c:v>
                </c:pt>
              </c:strCache>
            </c:strRef>
          </c:cat>
          <c:val>
            <c:numRef>
              <c:f>'Pivot Report'!$F$5:$F$36</c:f>
              <c:numCache>
                <c:formatCode>General</c:formatCode>
                <c:ptCount val="31"/>
                <c:pt idx="0">
                  <c:v>17</c:v>
                </c:pt>
                <c:pt idx="1">
                  <c:v>19</c:v>
                </c:pt>
                <c:pt idx="2">
                  <c:v>12</c:v>
                </c:pt>
                <c:pt idx="3">
                  <c:v>9</c:v>
                </c:pt>
                <c:pt idx="4">
                  <c:v>15</c:v>
                </c:pt>
                <c:pt idx="5">
                  <c:v>10</c:v>
                </c:pt>
                <c:pt idx="6">
                  <c:v>18</c:v>
                </c:pt>
                <c:pt idx="7">
                  <c:v>19</c:v>
                </c:pt>
                <c:pt idx="8">
                  <c:v>19</c:v>
                </c:pt>
                <c:pt idx="9">
                  <c:v>13</c:v>
                </c:pt>
                <c:pt idx="10">
                  <c:v>15</c:v>
                </c:pt>
                <c:pt idx="11">
                  <c:v>25</c:v>
                </c:pt>
                <c:pt idx="12">
                  <c:v>19</c:v>
                </c:pt>
                <c:pt idx="13">
                  <c:v>15</c:v>
                </c:pt>
                <c:pt idx="14">
                  <c:v>14</c:v>
                </c:pt>
                <c:pt idx="15">
                  <c:v>20</c:v>
                </c:pt>
                <c:pt idx="16">
                  <c:v>14</c:v>
                </c:pt>
                <c:pt idx="17">
                  <c:v>14</c:v>
                </c:pt>
                <c:pt idx="18">
                  <c:v>17</c:v>
                </c:pt>
                <c:pt idx="19">
                  <c:v>16</c:v>
                </c:pt>
                <c:pt idx="20">
                  <c:v>18</c:v>
                </c:pt>
                <c:pt idx="21">
                  <c:v>8</c:v>
                </c:pt>
                <c:pt idx="22">
                  <c:v>17</c:v>
                </c:pt>
                <c:pt idx="23">
                  <c:v>11</c:v>
                </c:pt>
                <c:pt idx="24">
                  <c:v>15</c:v>
                </c:pt>
                <c:pt idx="25">
                  <c:v>13</c:v>
                </c:pt>
                <c:pt idx="26">
                  <c:v>17</c:v>
                </c:pt>
                <c:pt idx="27">
                  <c:v>20</c:v>
                </c:pt>
                <c:pt idx="28">
                  <c:v>20</c:v>
                </c:pt>
                <c:pt idx="29">
                  <c:v>13</c:v>
                </c:pt>
                <c:pt idx="30">
                  <c:v>16</c:v>
                </c:pt>
              </c:numCache>
            </c:numRef>
          </c:val>
          <c:extLst>
            <c:ext xmlns:c16="http://schemas.microsoft.com/office/drawing/2014/chart" uri="{C3380CC4-5D6E-409C-BE32-E72D297353CC}">
              <c16:uniqueId val="{00000000-68D6-419A-A53E-413220E50C05}"/>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2106305967"/>
        <c:axId val="2106299247"/>
      </c:areaChart>
      <c:catAx>
        <c:axId val="2106305967"/>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2106299247"/>
        <c:crosses val="autoZero"/>
        <c:auto val="1"/>
        <c:lblAlgn val="ctr"/>
        <c:lblOffset val="100"/>
        <c:noMultiLvlLbl val="0"/>
      </c:catAx>
      <c:valAx>
        <c:axId val="2106299247"/>
        <c:scaling>
          <c:orientation val="minMax"/>
        </c:scaling>
        <c:delete val="1"/>
        <c:axPos val="l"/>
        <c:numFmt formatCode="General" sourceLinked="1"/>
        <c:majorTickMark val="out"/>
        <c:minorTickMark val="none"/>
        <c:tickLblPos val="nextTo"/>
        <c:crossAx val="2106305967"/>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[Hospital_emergency_room_analytics_dashboard.xlsx]Pivot Report!PivotTable6</c:name>
    <c:fmtId val="8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2169752349778946E-2"/>
          <c:y val="0.2010751836952063"/>
          <c:w val="0.82358504981165148"/>
          <c:h val="0.59784963260958746"/>
        </c:manualLayout>
      </c:layout>
      <c:areaChart>
        <c:grouping val="standard"/>
        <c:varyColors val="0"/>
        <c:ser>
          <c:idx val="0"/>
          <c:order val="0"/>
          <c:tx>
            <c:strRef>
              <c:f>'Pivot Report'!$N$4</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Report'!$M$5:$M$36</c:f>
              <c:strCache>
                <c:ptCount val="31"/>
                <c:pt idx="0">
                  <c:v>1-Jul</c:v>
                </c:pt>
                <c:pt idx="1">
                  <c:v>2-Jul</c:v>
                </c:pt>
                <c:pt idx="2">
                  <c:v>3-Jul</c:v>
                </c:pt>
                <c:pt idx="3">
                  <c:v>4-Jul</c:v>
                </c:pt>
                <c:pt idx="4">
                  <c:v>5-Jul</c:v>
                </c:pt>
                <c:pt idx="5">
                  <c:v>6-Jul</c:v>
                </c:pt>
                <c:pt idx="6">
                  <c:v>7-Jul</c:v>
                </c:pt>
                <c:pt idx="7">
                  <c:v>8-Jul</c:v>
                </c:pt>
                <c:pt idx="8">
                  <c:v>9-Jul</c:v>
                </c:pt>
                <c:pt idx="9">
                  <c:v>10-Jul</c:v>
                </c:pt>
                <c:pt idx="10">
                  <c:v>11-Jul</c:v>
                </c:pt>
                <c:pt idx="11">
                  <c:v>12-Jul</c:v>
                </c:pt>
                <c:pt idx="12">
                  <c:v>13-Jul</c:v>
                </c:pt>
                <c:pt idx="13">
                  <c:v>14-Jul</c:v>
                </c:pt>
                <c:pt idx="14">
                  <c:v>15-Jul</c:v>
                </c:pt>
                <c:pt idx="15">
                  <c:v>16-Jul</c:v>
                </c:pt>
                <c:pt idx="16">
                  <c:v>17-Jul</c:v>
                </c:pt>
                <c:pt idx="17">
                  <c:v>18-Jul</c:v>
                </c:pt>
                <c:pt idx="18">
                  <c:v>19-Jul</c:v>
                </c:pt>
                <c:pt idx="19">
                  <c:v>20-Jul</c:v>
                </c:pt>
                <c:pt idx="20">
                  <c:v>21-Jul</c:v>
                </c:pt>
                <c:pt idx="21">
                  <c:v>22-Jul</c:v>
                </c:pt>
                <c:pt idx="22">
                  <c:v>23-Jul</c:v>
                </c:pt>
                <c:pt idx="23">
                  <c:v>24-Jul</c:v>
                </c:pt>
                <c:pt idx="24">
                  <c:v>25-Jul</c:v>
                </c:pt>
                <c:pt idx="25">
                  <c:v>26-Jul</c:v>
                </c:pt>
                <c:pt idx="26">
                  <c:v>27-Jul</c:v>
                </c:pt>
                <c:pt idx="27">
                  <c:v>28-Jul</c:v>
                </c:pt>
                <c:pt idx="28">
                  <c:v>29-Jul</c:v>
                </c:pt>
                <c:pt idx="29">
                  <c:v>30-Jul</c:v>
                </c:pt>
                <c:pt idx="30">
                  <c:v>31-Jul</c:v>
                </c:pt>
              </c:strCache>
            </c:strRef>
          </c:cat>
          <c:val>
            <c:numRef>
              <c:f>'Pivot Report'!$N$5:$N$36</c:f>
              <c:numCache>
                <c:formatCode>0.00</c:formatCode>
                <c:ptCount val="31"/>
                <c:pt idx="0">
                  <c:v>4.125</c:v>
                </c:pt>
                <c:pt idx="1">
                  <c:v>5.333333333333333</c:v>
                </c:pt>
                <c:pt idx="2">
                  <c:v>4.75</c:v>
                </c:pt>
                <c:pt idx="3">
                  <c:v>2</c:v>
                </c:pt>
                <c:pt idx="4">
                  <c:v>8</c:v>
                </c:pt>
                <c:pt idx="5">
                  <c:v>3.5</c:v>
                </c:pt>
                <c:pt idx="6">
                  <c:v>7</c:v>
                </c:pt>
                <c:pt idx="7">
                  <c:v>3.5</c:v>
                </c:pt>
                <c:pt idx="8">
                  <c:v>6.4</c:v>
                </c:pt>
                <c:pt idx="9">
                  <c:v>3.5</c:v>
                </c:pt>
                <c:pt idx="10">
                  <c:v>6.5</c:v>
                </c:pt>
                <c:pt idx="11">
                  <c:v>5.2857142857142856</c:v>
                </c:pt>
                <c:pt idx="12">
                  <c:v>4.333333333333333</c:v>
                </c:pt>
                <c:pt idx="13">
                  <c:v>3</c:v>
                </c:pt>
                <c:pt idx="14">
                  <c:v>4.333333333333333</c:v>
                </c:pt>
                <c:pt idx="15">
                  <c:v>3.3333333333333335</c:v>
                </c:pt>
                <c:pt idx="16">
                  <c:v>2.5714285714285716</c:v>
                </c:pt>
                <c:pt idx="17">
                  <c:v>3.75</c:v>
                </c:pt>
                <c:pt idx="18">
                  <c:v>8.3333333333333339</c:v>
                </c:pt>
                <c:pt idx="19">
                  <c:v>3.75</c:v>
                </c:pt>
                <c:pt idx="20">
                  <c:v>4.666666666666667</c:v>
                </c:pt>
                <c:pt idx="21">
                  <c:v>5</c:v>
                </c:pt>
                <c:pt idx="22">
                  <c:v>4.333333333333333</c:v>
                </c:pt>
                <c:pt idx="23">
                  <c:v>4.666666666666667</c:v>
                </c:pt>
                <c:pt idx="24">
                  <c:v>4.5</c:v>
                </c:pt>
                <c:pt idx="25">
                  <c:v>6</c:v>
                </c:pt>
                <c:pt idx="26">
                  <c:v>6.8888888888888893</c:v>
                </c:pt>
                <c:pt idx="27">
                  <c:v>6.5714285714285712</c:v>
                </c:pt>
                <c:pt idx="28">
                  <c:v>4.0999999999999996</c:v>
                </c:pt>
                <c:pt idx="29">
                  <c:v>5</c:v>
                </c:pt>
                <c:pt idx="30">
                  <c:v>5.4</c:v>
                </c:pt>
              </c:numCache>
            </c:numRef>
          </c:val>
          <c:extLst>
            <c:ext xmlns:c16="http://schemas.microsoft.com/office/drawing/2014/chart" uri="{C3380CC4-5D6E-409C-BE32-E72D297353CC}">
              <c16:uniqueId val="{00000000-7AB2-4456-8E59-EB4F3A12F67D}"/>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311613279"/>
        <c:axId val="1311610879"/>
      </c:areaChart>
      <c:catAx>
        <c:axId val="1311613279"/>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311610879"/>
        <c:crosses val="autoZero"/>
        <c:auto val="1"/>
        <c:lblAlgn val="ctr"/>
        <c:lblOffset val="100"/>
        <c:noMultiLvlLbl val="0"/>
      </c:catAx>
      <c:valAx>
        <c:axId val="1311610879"/>
        <c:scaling>
          <c:orientation val="minMax"/>
        </c:scaling>
        <c:delete val="1"/>
        <c:axPos val="l"/>
        <c:numFmt formatCode="0.00" sourceLinked="1"/>
        <c:majorTickMark val="out"/>
        <c:minorTickMark val="none"/>
        <c:tickLblPos val="nextTo"/>
        <c:crossAx val="1311613279"/>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2.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hyperlink" Target="#'Daily ER no. of patients'!A1"/><Relationship Id="rId13" Type="http://schemas.openxmlformats.org/officeDocument/2006/relationships/chart" Target="../charts/chart5.xml"/><Relationship Id="rId18" Type="http://schemas.openxmlformats.org/officeDocument/2006/relationships/chart" Target="../charts/chart9.xml"/><Relationship Id="rId3" Type="http://schemas.openxmlformats.org/officeDocument/2006/relationships/image" Target="../media/image3.svg"/><Relationship Id="rId7" Type="http://schemas.openxmlformats.org/officeDocument/2006/relationships/image" Target="../media/image7.svg"/><Relationship Id="rId12" Type="http://schemas.openxmlformats.org/officeDocument/2006/relationships/hyperlink" Target="#'Satisfaction score daily trend'!A1"/><Relationship Id="rId17" Type="http://schemas.openxmlformats.org/officeDocument/2006/relationships/chart" Target="../charts/chart8.xml"/><Relationship Id="rId2" Type="http://schemas.openxmlformats.org/officeDocument/2006/relationships/image" Target="../media/image2.png"/><Relationship Id="rId16" Type="http://schemas.openxmlformats.org/officeDocument/2006/relationships/chart" Target="../charts/chart7.xml"/><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4.xml"/><Relationship Id="rId5" Type="http://schemas.openxmlformats.org/officeDocument/2006/relationships/image" Target="../media/image5.svg"/><Relationship Id="rId15" Type="http://schemas.openxmlformats.org/officeDocument/2006/relationships/image" Target="../media/image8.emf"/><Relationship Id="rId10" Type="http://schemas.openxmlformats.org/officeDocument/2006/relationships/hyperlink" Target="#'Average wait time daily trend'!A1"/><Relationship Id="rId4" Type="http://schemas.openxmlformats.org/officeDocument/2006/relationships/image" Target="../media/image4.png"/><Relationship Id="rId9" Type="http://schemas.openxmlformats.org/officeDocument/2006/relationships/chart" Target="../charts/chart3.xml"/><Relationship Id="rId14" Type="http://schemas.openxmlformats.org/officeDocument/2006/relationships/chart" Target="../charts/chart6.xml"/></Relationships>
</file>

<file path=xl/drawings/_rels/drawing3.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4.xml.rels><?xml version="1.0" encoding="UTF-8" standalone="yes"?>
<Relationships xmlns="http://schemas.openxmlformats.org/package/2006/relationships"><Relationship Id="rId3" Type="http://schemas.openxmlformats.org/officeDocument/2006/relationships/image" Target="../media/image11.svg"/><Relationship Id="rId2" Type="http://schemas.openxmlformats.org/officeDocument/2006/relationships/image" Target="../media/image10.png"/><Relationship Id="rId1" Type="http://schemas.openxmlformats.org/officeDocument/2006/relationships/hyperlink" Target="#'Dashboard sheet'!A1"/></Relationships>
</file>

<file path=xl/drawings/_rels/drawing5.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6.xml.rels><?xml version="1.0" encoding="UTF-8" standalone="yes"?>
<Relationships xmlns="http://schemas.openxmlformats.org/package/2006/relationships"><Relationship Id="rId3" Type="http://schemas.openxmlformats.org/officeDocument/2006/relationships/image" Target="../media/image11.svg"/><Relationship Id="rId2" Type="http://schemas.openxmlformats.org/officeDocument/2006/relationships/image" Target="../media/image10.png"/><Relationship Id="rId1" Type="http://schemas.openxmlformats.org/officeDocument/2006/relationships/hyperlink" Target="#'Dashboard sheet'!A1"/></Relationships>
</file>

<file path=xl/drawings/_rels/drawing7.xml.rels><?xml version="1.0" encoding="UTF-8" standalone="yes"?>
<Relationships xmlns="http://schemas.openxmlformats.org/package/2006/relationships"><Relationship Id="rId3" Type="http://schemas.openxmlformats.org/officeDocument/2006/relationships/image" Target="../media/image12.png"/><Relationship Id="rId2" Type="http://schemas.openxmlformats.org/officeDocument/2006/relationships/hyperlink" Target="#'Dashboard sheet'!A1"/><Relationship Id="rId1" Type="http://schemas.openxmlformats.org/officeDocument/2006/relationships/chart" Target="../charts/chart12.xml"/><Relationship Id="rId4" Type="http://schemas.openxmlformats.org/officeDocument/2006/relationships/image" Target="../media/image13.svg"/></Relationships>
</file>

<file path=xl/drawings/_rels/vmlDrawing1.vml.rels><?xml version="1.0" encoding="UTF-8" standalone="yes"?>
<Relationships xmlns="http://schemas.openxmlformats.org/package/2006/relationships"><Relationship Id="rId1" Type="http://schemas.openxmlformats.org/officeDocument/2006/relationships/image" Target="../media/image9.emf"/></Relationships>
</file>

<file path=xl/drawings/drawing1.xml><?xml version="1.0" encoding="utf-8"?>
<xdr:wsDr xmlns:xdr="http://schemas.openxmlformats.org/drawingml/2006/spreadsheetDrawing" xmlns:a="http://schemas.openxmlformats.org/drawingml/2006/main">
  <xdr:twoCellAnchor>
    <xdr:from>
      <xdr:col>2</xdr:col>
      <xdr:colOff>1510770</xdr:colOff>
      <xdr:row>48</xdr:row>
      <xdr:rowOff>119063</xdr:rowOff>
    </xdr:from>
    <xdr:to>
      <xdr:col>3</xdr:col>
      <xdr:colOff>1674812</xdr:colOff>
      <xdr:row>51</xdr:row>
      <xdr:rowOff>87313</xdr:rowOff>
    </xdr:to>
    <xdr:graphicFrame macro="">
      <xdr:nvGraphicFramePr>
        <xdr:cNvPr id="5" name="Chart 4">
          <a:extLst>
            <a:ext uri="{FF2B5EF4-FFF2-40B4-BE49-F238E27FC236}">
              <a16:creationId xmlns:a16="http://schemas.microsoft.com/office/drawing/2014/main" id="{F05A7BAC-CF82-2C4C-1B87-787D2EEAF76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6</xdr:colOff>
      <xdr:row>52</xdr:row>
      <xdr:rowOff>140494</xdr:rowOff>
    </xdr:from>
    <xdr:to>
      <xdr:col>3</xdr:col>
      <xdr:colOff>87318</xdr:colOff>
      <xdr:row>67</xdr:row>
      <xdr:rowOff>145256</xdr:rowOff>
    </xdr:to>
    <xdr:graphicFrame macro="">
      <xdr:nvGraphicFramePr>
        <xdr:cNvPr id="8" name="Chart 7">
          <a:extLst>
            <a:ext uri="{FF2B5EF4-FFF2-40B4-BE49-F238E27FC236}">
              <a16:creationId xmlns:a16="http://schemas.microsoft.com/office/drawing/2014/main" id="{3A3D09EF-FCDC-05F2-7B31-43C8DCB95D8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13940</xdr:colOff>
      <xdr:row>0</xdr:row>
      <xdr:rowOff>46464</xdr:rowOff>
    </xdr:from>
    <xdr:to>
      <xdr:col>5</xdr:col>
      <xdr:colOff>241610</xdr:colOff>
      <xdr:row>3</xdr:row>
      <xdr:rowOff>4647</xdr:rowOff>
    </xdr:to>
    <xdr:sp macro="" textlink="">
      <xdr:nvSpPr>
        <xdr:cNvPr id="3" name="Rectangle: Rounded Corners 2">
          <a:extLst>
            <a:ext uri="{FF2B5EF4-FFF2-40B4-BE49-F238E27FC236}">
              <a16:creationId xmlns:a16="http://schemas.microsoft.com/office/drawing/2014/main" id="{0FC836EF-CF9C-60B1-E5D1-252F697A26D7}"/>
            </a:ext>
          </a:extLst>
        </xdr:cNvPr>
        <xdr:cNvSpPr/>
      </xdr:nvSpPr>
      <xdr:spPr>
        <a:xfrm>
          <a:off x="13940" y="46464"/>
          <a:ext cx="3271024" cy="501805"/>
        </a:xfrm>
        <a:prstGeom prst="round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editAs="absolute">
    <xdr:from>
      <xdr:col>5</xdr:col>
      <xdr:colOff>292720</xdr:colOff>
      <xdr:row>0</xdr:row>
      <xdr:rowOff>46463</xdr:rowOff>
    </xdr:from>
    <xdr:to>
      <xdr:col>7</xdr:col>
      <xdr:colOff>78988</xdr:colOff>
      <xdr:row>3</xdr:row>
      <xdr:rowOff>4646</xdr:rowOff>
    </xdr:to>
    <xdr:sp macro="" textlink="">
      <xdr:nvSpPr>
        <xdr:cNvPr id="4" name="Rectangle: Rounded Corners 3">
          <a:extLst>
            <a:ext uri="{FF2B5EF4-FFF2-40B4-BE49-F238E27FC236}">
              <a16:creationId xmlns:a16="http://schemas.microsoft.com/office/drawing/2014/main" id="{35E21723-BDF0-0857-4C4F-1ADD98092B8F}"/>
            </a:ext>
          </a:extLst>
        </xdr:cNvPr>
        <xdr:cNvSpPr/>
      </xdr:nvSpPr>
      <xdr:spPr>
        <a:xfrm>
          <a:off x="3336074" y="46463"/>
          <a:ext cx="1003609" cy="501805"/>
        </a:xfrm>
        <a:prstGeom prst="round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7</xdr:col>
      <xdr:colOff>120806</xdr:colOff>
      <xdr:row>0</xdr:row>
      <xdr:rowOff>41816</xdr:rowOff>
    </xdr:from>
    <xdr:to>
      <xdr:col>9</xdr:col>
      <xdr:colOff>185853</xdr:colOff>
      <xdr:row>6</xdr:row>
      <xdr:rowOff>120804</xdr:rowOff>
    </xdr:to>
    <xdr:sp macro="" textlink="">
      <xdr:nvSpPr>
        <xdr:cNvPr id="5" name="Rectangle: Rounded Corners 4">
          <a:extLst>
            <a:ext uri="{FF2B5EF4-FFF2-40B4-BE49-F238E27FC236}">
              <a16:creationId xmlns:a16="http://schemas.microsoft.com/office/drawing/2014/main" id="{1D341DE3-96B1-5652-7C14-DF769D925587}"/>
            </a:ext>
          </a:extLst>
        </xdr:cNvPr>
        <xdr:cNvSpPr/>
      </xdr:nvSpPr>
      <xdr:spPr>
        <a:xfrm>
          <a:off x="4381501" y="41816"/>
          <a:ext cx="1282389" cy="1166232"/>
        </a:xfrm>
        <a:prstGeom prst="round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9</xdr:col>
      <xdr:colOff>211583</xdr:colOff>
      <xdr:row>0</xdr:row>
      <xdr:rowOff>34484</xdr:rowOff>
    </xdr:from>
    <xdr:to>
      <xdr:col>11</xdr:col>
      <xdr:colOff>276631</xdr:colOff>
      <xdr:row>6</xdr:row>
      <xdr:rowOff>113472</xdr:rowOff>
    </xdr:to>
    <xdr:sp macro="" textlink="">
      <xdr:nvSpPr>
        <xdr:cNvPr id="6" name="Rectangle: Rounded Corners 5">
          <a:extLst>
            <a:ext uri="{FF2B5EF4-FFF2-40B4-BE49-F238E27FC236}">
              <a16:creationId xmlns:a16="http://schemas.microsoft.com/office/drawing/2014/main" id="{91F09585-D6F8-BC7C-5A10-4F35D37A136C}"/>
            </a:ext>
          </a:extLst>
        </xdr:cNvPr>
        <xdr:cNvSpPr/>
      </xdr:nvSpPr>
      <xdr:spPr>
        <a:xfrm>
          <a:off x="5697983" y="34484"/>
          <a:ext cx="1284248" cy="1183888"/>
        </a:xfrm>
        <a:prstGeom prst="round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0</xdr:col>
      <xdr:colOff>27878</xdr:colOff>
      <xdr:row>3</xdr:row>
      <xdr:rowOff>27878</xdr:rowOff>
    </xdr:from>
    <xdr:to>
      <xdr:col>1</xdr:col>
      <xdr:colOff>106869</xdr:colOff>
      <xdr:row>16</xdr:row>
      <xdr:rowOff>134745</xdr:rowOff>
    </xdr:to>
    <xdr:sp macro="" textlink="">
      <xdr:nvSpPr>
        <xdr:cNvPr id="7" name="Rectangle: Rounded Corners 6">
          <a:extLst>
            <a:ext uri="{FF2B5EF4-FFF2-40B4-BE49-F238E27FC236}">
              <a16:creationId xmlns:a16="http://schemas.microsoft.com/office/drawing/2014/main" id="{D39E36DB-7A27-8CCA-57CA-E431E89F9A40}"/>
            </a:ext>
          </a:extLst>
        </xdr:cNvPr>
        <xdr:cNvSpPr/>
      </xdr:nvSpPr>
      <xdr:spPr>
        <a:xfrm rot="16200000">
          <a:off x="-859572" y="1458950"/>
          <a:ext cx="2462562" cy="687662"/>
        </a:xfrm>
        <a:prstGeom prst="round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111512</xdr:colOff>
      <xdr:row>3</xdr:row>
      <xdr:rowOff>41816</xdr:rowOff>
    </xdr:from>
    <xdr:to>
      <xdr:col>2</xdr:col>
      <xdr:colOff>585439</xdr:colOff>
      <xdr:row>7</xdr:row>
      <xdr:rowOff>60403</xdr:rowOff>
    </xdr:to>
    <xdr:sp macro="" textlink="">
      <xdr:nvSpPr>
        <xdr:cNvPr id="9" name="Rectangle: Rounded Corners 8">
          <a:extLst>
            <a:ext uri="{FF2B5EF4-FFF2-40B4-BE49-F238E27FC236}">
              <a16:creationId xmlns:a16="http://schemas.microsoft.com/office/drawing/2014/main" id="{9091E668-5635-75EE-4242-2B3664CA362D}"/>
            </a:ext>
          </a:extLst>
        </xdr:cNvPr>
        <xdr:cNvSpPr/>
      </xdr:nvSpPr>
      <xdr:spPr>
        <a:xfrm>
          <a:off x="716937" y="605487"/>
          <a:ext cx="1079351" cy="770149"/>
        </a:xfrm>
        <a:prstGeom prst="round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2</xdr:col>
      <xdr:colOff>594733</xdr:colOff>
      <xdr:row>3</xdr:row>
      <xdr:rowOff>46654</xdr:rowOff>
    </xdr:from>
    <xdr:to>
      <xdr:col>4</xdr:col>
      <xdr:colOff>571500</xdr:colOff>
      <xdr:row>7</xdr:row>
      <xdr:rowOff>60404</xdr:rowOff>
    </xdr:to>
    <xdr:sp macro="" textlink="">
      <xdr:nvSpPr>
        <xdr:cNvPr id="10" name="Rectangle: Rounded Corners 9">
          <a:extLst>
            <a:ext uri="{FF2B5EF4-FFF2-40B4-BE49-F238E27FC236}">
              <a16:creationId xmlns:a16="http://schemas.microsoft.com/office/drawing/2014/main" id="{D60A2C7C-BD35-5C06-D85B-EB556773BA92}"/>
            </a:ext>
          </a:extLst>
        </xdr:cNvPr>
        <xdr:cNvSpPr/>
      </xdr:nvSpPr>
      <xdr:spPr>
        <a:xfrm>
          <a:off x="1818080" y="590940"/>
          <a:ext cx="1200114" cy="739464"/>
        </a:xfrm>
        <a:prstGeom prst="round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4</xdr:col>
      <xdr:colOff>585440</xdr:colOff>
      <xdr:row>3</xdr:row>
      <xdr:rowOff>41818</xdr:rowOff>
    </xdr:from>
    <xdr:to>
      <xdr:col>7</xdr:col>
      <xdr:colOff>65049</xdr:colOff>
      <xdr:row>7</xdr:row>
      <xdr:rowOff>51111</xdr:rowOff>
    </xdr:to>
    <xdr:sp macro="" textlink="">
      <xdr:nvSpPr>
        <xdr:cNvPr id="11" name="Rectangle: Rounded Corners 10">
          <a:extLst>
            <a:ext uri="{FF2B5EF4-FFF2-40B4-BE49-F238E27FC236}">
              <a16:creationId xmlns:a16="http://schemas.microsoft.com/office/drawing/2014/main" id="{3D05F793-DB47-4AEF-5CF8-1ED283A33074}"/>
            </a:ext>
          </a:extLst>
        </xdr:cNvPr>
        <xdr:cNvSpPr/>
      </xdr:nvSpPr>
      <xdr:spPr>
        <a:xfrm>
          <a:off x="3032134" y="586104"/>
          <a:ext cx="1314629" cy="735007"/>
        </a:xfrm>
        <a:prstGeom prst="round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130097</xdr:colOff>
      <xdr:row>7</xdr:row>
      <xdr:rowOff>106866</xdr:rowOff>
    </xdr:from>
    <xdr:to>
      <xdr:col>7</xdr:col>
      <xdr:colOff>69695</xdr:colOff>
      <xdr:row>10</xdr:row>
      <xdr:rowOff>102220</xdr:rowOff>
    </xdr:to>
    <xdr:sp macro="" textlink="">
      <xdr:nvSpPr>
        <xdr:cNvPr id="12" name="Rectangle 11">
          <a:extLst>
            <a:ext uri="{FF2B5EF4-FFF2-40B4-BE49-F238E27FC236}">
              <a16:creationId xmlns:a16="http://schemas.microsoft.com/office/drawing/2014/main" id="{FDF61A2E-A01A-6B5E-B082-8718101E0259}"/>
            </a:ext>
          </a:extLst>
        </xdr:cNvPr>
        <xdr:cNvSpPr/>
      </xdr:nvSpPr>
      <xdr:spPr>
        <a:xfrm>
          <a:off x="738768" y="1375317"/>
          <a:ext cx="3591622" cy="538976"/>
        </a:xfrm>
        <a:prstGeom prst="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122797</xdr:colOff>
      <xdr:row>10</xdr:row>
      <xdr:rowOff>129402</xdr:rowOff>
    </xdr:from>
    <xdr:to>
      <xdr:col>7</xdr:col>
      <xdr:colOff>88123</xdr:colOff>
      <xdr:row>16</xdr:row>
      <xdr:rowOff>129592</xdr:rowOff>
    </xdr:to>
    <xdr:sp macro="" textlink="">
      <xdr:nvSpPr>
        <xdr:cNvPr id="13" name="Rectangle: Rounded Corners 12">
          <a:extLst>
            <a:ext uri="{FF2B5EF4-FFF2-40B4-BE49-F238E27FC236}">
              <a16:creationId xmlns:a16="http://schemas.microsoft.com/office/drawing/2014/main" id="{380DB31B-ABF8-88B0-CCD8-335A6909D45C}"/>
            </a:ext>
          </a:extLst>
        </xdr:cNvPr>
        <xdr:cNvSpPr/>
      </xdr:nvSpPr>
      <xdr:spPr>
        <a:xfrm>
          <a:off x="734470" y="1943688"/>
          <a:ext cx="3635367" cy="1088761"/>
        </a:xfrm>
        <a:prstGeom prst="round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rtlCol="0" anchor="t"/>
        <a:lstStyle/>
        <a:p>
          <a:pPr algn="l"/>
          <a:endParaRPr lang="en-IN" sz="1100"/>
        </a:p>
      </xdr:txBody>
    </xdr:sp>
    <xdr:clientData/>
  </xdr:twoCellAnchor>
  <xdr:twoCellAnchor editAs="absolute">
    <xdr:from>
      <xdr:col>7</xdr:col>
      <xdr:colOff>110439</xdr:colOff>
      <xdr:row>6</xdr:row>
      <xdr:rowOff>145490</xdr:rowOff>
    </xdr:from>
    <xdr:to>
      <xdr:col>11</xdr:col>
      <xdr:colOff>295470</xdr:colOff>
      <xdr:row>16</xdr:row>
      <xdr:rowOff>145143</xdr:rowOff>
    </xdr:to>
    <xdr:sp macro="" textlink="">
      <xdr:nvSpPr>
        <xdr:cNvPr id="14" name="Rectangle: Rounded Corners 13">
          <a:extLst>
            <a:ext uri="{FF2B5EF4-FFF2-40B4-BE49-F238E27FC236}">
              <a16:creationId xmlns:a16="http://schemas.microsoft.com/office/drawing/2014/main" id="{6BD1BBCD-5542-8307-A5D0-FBA0B10F446A}"/>
            </a:ext>
          </a:extLst>
        </xdr:cNvPr>
        <xdr:cNvSpPr/>
      </xdr:nvSpPr>
      <xdr:spPr>
        <a:xfrm>
          <a:off x="4377639" y="1250390"/>
          <a:ext cx="2623431" cy="1841153"/>
        </a:xfrm>
        <a:prstGeom prst="round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0</xdr:col>
      <xdr:colOff>533917</xdr:colOff>
      <xdr:row>0</xdr:row>
      <xdr:rowOff>77755</xdr:rowOff>
    </xdr:from>
    <xdr:to>
      <xdr:col>4</xdr:col>
      <xdr:colOff>513183</xdr:colOff>
      <xdr:row>2</xdr:row>
      <xdr:rowOff>155511</xdr:rowOff>
    </xdr:to>
    <xdr:sp macro="" textlink="">
      <xdr:nvSpPr>
        <xdr:cNvPr id="15" name="TextBox 14">
          <a:extLst>
            <a:ext uri="{FF2B5EF4-FFF2-40B4-BE49-F238E27FC236}">
              <a16:creationId xmlns:a16="http://schemas.microsoft.com/office/drawing/2014/main" id="{50AEC879-253B-2556-7ACC-F0A28BFB82D1}"/>
            </a:ext>
          </a:extLst>
        </xdr:cNvPr>
        <xdr:cNvSpPr txBox="1"/>
      </xdr:nvSpPr>
      <xdr:spPr>
        <a:xfrm>
          <a:off x="533917" y="77755"/>
          <a:ext cx="2425960" cy="440613"/>
        </a:xfrm>
        <a:prstGeom prst="rect">
          <a:avLst/>
        </a:prstGeom>
        <a:solidFill>
          <a:schemeClr val="bg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rtlCol="0" anchor="ctr"/>
        <a:lstStyle/>
        <a:p>
          <a:r>
            <a:rPr lang="en-IN" sz="1100"/>
            <a:t>Hospital Emergency Room Dashboard</a:t>
          </a:r>
        </a:p>
        <a:p>
          <a:pPr algn="ctr"/>
          <a:r>
            <a:rPr lang="en-IN" sz="800"/>
            <a:t>Monthly Report</a:t>
          </a:r>
        </a:p>
      </xdr:txBody>
    </xdr:sp>
    <xdr:clientData/>
  </xdr:twoCellAnchor>
  <xdr:twoCellAnchor editAs="oneCell">
    <xdr:from>
      <xdr:col>0</xdr:col>
      <xdr:colOff>46653</xdr:colOff>
      <xdr:row>0</xdr:row>
      <xdr:rowOff>25917</xdr:rowOff>
    </xdr:from>
    <xdr:to>
      <xdr:col>0</xdr:col>
      <xdr:colOff>585754</xdr:colOff>
      <xdr:row>3</xdr:row>
      <xdr:rowOff>57020</xdr:rowOff>
    </xdr:to>
    <xdr:pic>
      <xdr:nvPicPr>
        <xdr:cNvPr id="17" name="Picture 16">
          <a:extLst>
            <a:ext uri="{FF2B5EF4-FFF2-40B4-BE49-F238E27FC236}">
              <a16:creationId xmlns:a16="http://schemas.microsoft.com/office/drawing/2014/main" id="{14916472-1E16-8260-0707-78D5AE87512A}"/>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23284" t="-1408" r="5854" b="-14084"/>
        <a:stretch>
          <a:fillRect/>
        </a:stretch>
      </xdr:blipFill>
      <xdr:spPr>
        <a:xfrm>
          <a:off x="46653" y="25917"/>
          <a:ext cx="539101" cy="575389"/>
        </a:xfrm>
        <a:prstGeom prst="rect">
          <a:avLst/>
        </a:prstGeom>
      </xdr:spPr>
    </xdr:pic>
    <xdr:clientData/>
  </xdr:twoCellAnchor>
  <xdr:twoCellAnchor>
    <xdr:from>
      <xdr:col>1</xdr:col>
      <xdr:colOff>165878</xdr:colOff>
      <xdr:row>4</xdr:row>
      <xdr:rowOff>108858</xdr:rowOff>
    </xdr:from>
    <xdr:to>
      <xdr:col>2</xdr:col>
      <xdr:colOff>570204</xdr:colOff>
      <xdr:row>6</xdr:row>
      <xdr:rowOff>67388</xdr:rowOff>
    </xdr:to>
    <xdr:sp macro="" textlink="">
      <xdr:nvSpPr>
        <xdr:cNvPr id="20" name="TextBox 19">
          <a:extLst>
            <a:ext uri="{FF2B5EF4-FFF2-40B4-BE49-F238E27FC236}">
              <a16:creationId xmlns:a16="http://schemas.microsoft.com/office/drawing/2014/main" id="{5BDC18D1-F643-5303-7179-C3E1015E5E5E}"/>
            </a:ext>
          </a:extLst>
        </xdr:cNvPr>
        <xdr:cNvSpPr txBox="1"/>
      </xdr:nvSpPr>
      <xdr:spPr>
        <a:xfrm>
          <a:off x="777551" y="834572"/>
          <a:ext cx="1016000" cy="321387"/>
        </a:xfrm>
        <a:prstGeom prst="rect">
          <a:avLst/>
        </a:prstGeom>
        <a:solidFill>
          <a:schemeClr val="bg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800"/>
            <a:t>No.</a:t>
          </a:r>
          <a:r>
            <a:rPr lang="en-IN" sz="800" baseline="0"/>
            <a:t> of Patients</a:t>
          </a:r>
          <a:endParaRPr lang="en-IN" sz="800"/>
        </a:p>
      </xdr:txBody>
    </xdr:sp>
    <xdr:clientData/>
  </xdr:twoCellAnchor>
  <xdr:twoCellAnchor>
    <xdr:from>
      <xdr:col>1</xdr:col>
      <xdr:colOff>165203</xdr:colOff>
      <xdr:row>3</xdr:row>
      <xdr:rowOff>144467</xdr:rowOff>
    </xdr:from>
    <xdr:to>
      <xdr:col>2</xdr:col>
      <xdr:colOff>569529</xdr:colOff>
      <xdr:row>4</xdr:row>
      <xdr:rowOff>165202</xdr:rowOff>
    </xdr:to>
    <xdr:sp macro="" textlink="'Pivot Report'!A5">
      <xdr:nvSpPr>
        <xdr:cNvPr id="21" name="TextBox 20">
          <a:extLst>
            <a:ext uri="{FF2B5EF4-FFF2-40B4-BE49-F238E27FC236}">
              <a16:creationId xmlns:a16="http://schemas.microsoft.com/office/drawing/2014/main" id="{391DA731-F51F-35AE-845B-DFCA25E462FF}"/>
            </a:ext>
          </a:extLst>
        </xdr:cNvPr>
        <xdr:cNvSpPr txBox="1"/>
      </xdr:nvSpPr>
      <xdr:spPr>
        <a:xfrm>
          <a:off x="773901" y="699059"/>
          <a:ext cx="1013024" cy="205599"/>
        </a:xfrm>
        <a:prstGeom prst="rect">
          <a:avLst/>
        </a:prstGeom>
        <a:solidFill>
          <a:schemeClr val="bg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6C87B0CA-C308-49E2-B9F5-F75A2D7DF29B}" type="TxLink">
            <a:rPr lang="en-US" sz="1100" b="0" i="0" u="none" strike="noStrike">
              <a:solidFill>
                <a:srgbClr val="000000"/>
              </a:solidFill>
              <a:latin typeface="Calibri"/>
              <a:ea typeface="Calibri"/>
              <a:cs typeface="Calibri"/>
            </a:rPr>
            <a:pPr algn="ctr"/>
            <a:t>488</a:t>
          </a:fld>
          <a:endParaRPr lang="en-IN" sz="800"/>
        </a:p>
      </xdr:txBody>
    </xdr:sp>
    <xdr:clientData/>
  </xdr:twoCellAnchor>
  <xdr:twoCellAnchor>
    <xdr:from>
      <xdr:col>3</xdr:col>
      <xdr:colOff>77756</xdr:colOff>
      <xdr:row>4</xdr:row>
      <xdr:rowOff>98491</xdr:rowOff>
    </xdr:from>
    <xdr:to>
      <xdr:col>4</xdr:col>
      <xdr:colOff>482082</xdr:colOff>
      <xdr:row>6</xdr:row>
      <xdr:rowOff>57021</xdr:rowOff>
    </xdr:to>
    <xdr:sp macro="" textlink="">
      <xdr:nvSpPr>
        <xdr:cNvPr id="22" name="TextBox 21">
          <a:extLst>
            <a:ext uri="{FF2B5EF4-FFF2-40B4-BE49-F238E27FC236}">
              <a16:creationId xmlns:a16="http://schemas.microsoft.com/office/drawing/2014/main" id="{19A6BA41-9D0F-F9D3-5B5F-71B4361BA43B}"/>
            </a:ext>
          </a:extLst>
        </xdr:cNvPr>
        <xdr:cNvSpPr txBox="1"/>
      </xdr:nvSpPr>
      <xdr:spPr>
        <a:xfrm>
          <a:off x="1912776" y="824205"/>
          <a:ext cx="1016000" cy="321387"/>
        </a:xfrm>
        <a:prstGeom prst="rect">
          <a:avLst/>
        </a:prstGeom>
        <a:solidFill>
          <a:schemeClr val="bg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800"/>
            <a:t>Average</a:t>
          </a:r>
          <a:r>
            <a:rPr lang="en-IN" sz="800" baseline="0"/>
            <a:t> Wait Time</a:t>
          </a:r>
          <a:endParaRPr lang="en-IN" sz="800"/>
        </a:p>
      </xdr:txBody>
    </xdr:sp>
    <xdr:clientData/>
  </xdr:twoCellAnchor>
  <xdr:twoCellAnchor>
    <xdr:from>
      <xdr:col>3</xdr:col>
      <xdr:colOff>72572</xdr:colOff>
      <xdr:row>3</xdr:row>
      <xdr:rowOff>129591</xdr:rowOff>
    </xdr:from>
    <xdr:to>
      <xdr:col>4</xdr:col>
      <xdr:colOff>476898</xdr:colOff>
      <xdr:row>4</xdr:row>
      <xdr:rowOff>150326</xdr:rowOff>
    </xdr:to>
    <xdr:sp macro="" textlink="'Pivot Report'!A9">
      <xdr:nvSpPr>
        <xdr:cNvPr id="23" name="TextBox 22">
          <a:extLst>
            <a:ext uri="{FF2B5EF4-FFF2-40B4-BE49-F238E27FC236}">
              <a16:creationId xmlns:a16="http://schemas.microsoft.com/office/drawing/2014/main" id="{6A8D0115-1133-588A-5E3B-827884E14795}"/>
            </a:ext>
          </a:extLst>
        </xdr:cNvPr>
        <xdr:cNvSpPr txBox="1"/>
      </xdr:nvSpPr>
      <xdr:spPr>
        <a:xfrm>
          <a:off x="1907592" y="673877"/>
          <a:ext cx="1016000" cy="202163"/>
        </a:xfrm>
        <a:prstGeom prst="rect">
          <a:avLst/>
        </a:prstGeom>
        <a:solidFill>
          <a:schemeClr val="bg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C5AC354A-EFAF-40E0-B8E5-CD1198629A8D}" type="TxLink">
            <a:rPr lang="en-US" sz="1100" b="0" i="0" u="none" strike="noStrike">
              <a:solidFill>
                <a:srgbClr val="000000"/>
              </a:solidFill>
              <a:latin typeface="Calibri"/>
              <a:ea typeface="Calibri"/>
              <a:cs typeface="Calibri"/>
            </a:rPr>
            <a:pPr algn="ctr"/>
            <a:t>35.20</a:t>
          </a:fld>
          <a:endParaRPr lang="en-IN" sz="800"/>
        </a:p>
      </xdr:txBody>
    </xdr:sp>
    <xdr:clientData/>
  </xdr:twoCellAnchor>
  <xdr:twoCellAnchor>
    <xdr:from>
      <xdr:col>5</xdr:col>
      <xdr:colOff>129592</xdr:colOff>
      <xdr:row>4</xdr:row>
      <xdr:rowOff>88124</xdr:rowOff>
    </xdr:from>
    <xdr:to>
      <xdr:col>6</xdr:col>
      <xdr:colOff>533918</xdr:colOff>
      <xdr:row>6</xdr:row>
      <xdr:rowOff>114041</xdr:rowOff>
    </xdr:to>
    <xdr:sp macro="" textlink="">
      <xdr:nvSpPr>
        <xdr:cNvPr id="24" name="TextBox 23">
          <a:extLst>
            <a:ext uri="{FF2B5EF4-FFF2-40B4-BE49-F238E27FC236}">
              <a16:creationId xmlns:a16="http://schemas.microsoft.com/office/drawing/2014/main" id="{1DC440E8-69C8-023B-E05A-F277E1677C19}"/>
            </a:ext>
          </a:extLst>
        </xdr:cNvPr>
        <xdr:cNvSpPr txBox="1"/>
      </xdr:nvSpPr>
      <xdr:spPr>
        <a:xfrm>
          <a:off x="3187959" y="813838"/>
          <a:ext cx="1016000" cy="388774"/>
        </a:xfrm>
        <a:prstGeom prst="rect">
          <a:avLst/>
        </a:prstGeom>
        <a:solidFill>
          <a:schemeClr val="bg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800"/>
            <a:t>Patient</a:t>
          </a:r>
          <a:r>
            <a:rPr lang="en-IN" sz="800" baseline="0"/>
            <a:t> </a:t>
          </a:r>
          <a:r>
            <a:rPr lang="en-IN" sz="800"/>
            <a:t>Satisfaction Score</a:t>
          </a:r>
        </a:p>
      </xdr:txBody>
    </xdr:sp>
    <xdr:clientData/>
  </xdr:twoCellAnchor>
  <xdr:twoCellAnchor>
    <xdr:from>
      <xdr:col>5</xdr:col>
      <xdr:colOff>124408</xdr:colOff>
      <xdr:row>3</xdr:row>
      <xdr:rowOff>119224</xdr:rowOff>
    </xdr:from>
    <xdr:to>
      <xdr:col>6</xdr:col>
      <xdr:colOff>528734</xdr:colOff>
      <xdr:row>4</xdr:row>
      <xdr:rowOff>139959</xdr:rowOff>
    </xdr:to>
    <xdr:sp macro="" textlink="'Pivot Report'!A14">
      <xdr:nvSpPr>
        <xdr:cNvPr id="25" name="TextBox 24">
          <a:extLst>
            <a:ext uri="{FF2B5EF4-FFF2-40B4-BE49-F238E27FC236}">
              <a16:creationId xmlns:a16="http://schemas.microsoft.com/office/drawing/2014/main" id="{DC87C5A5-6CFA-9307-683D-8BC6D50285D8}"/>
            </a:ext>
          </a:extLst>
        </xdr:cNvPr>
        <xdr:cNvSpPr txBox="1"/>
      </xdr:nvSpPr>
      <xdr:spPr>
        <a:xfrm>
          <a:off x="3182775" y="663510"/>
          <a:ext cx="1016000" cy="202163"/>
        </a:xfrm>
        <a:prstGeom prst="rect">
          <a:avLst/>
        </a:prstGeom>
        <a:solidFill>
          <a:schemeClr val="bg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E33CD9C3-9898-4AFD-996E-C30AC6B9B58E}" type="TxLink">
            <a:rPr lang="en-US" sz="1100" b="0" i="0" u="none" strike="noStrike">
              <a:solidFill>
                <a:srgbClr val="000000"/>
              </a:solidFill>
              <a:latin typeface="Calibri"/>
              <a:ea typeface="Calibri"/>
              <a:cs typeface="Calibri"/>
            </a:rPr>
            <a:pPr algn="ctr"/>
            <a:t>4.79</a:t>
          </a:fld>
          <a:endParaRPr lang="en-IN" sz="800"/>
        </a:p>
      </xdr:txBody>
    </xdr:sp>
    <xdr:clientData/>
  </xdr:twoCellAnchor>
  <xdr:twoCellAnchor editAs="oneCell">
    <xdr:from>
      <xdr:col>2</xdr:col>
      <xdr:colOff>285100</xdr:colOff>
      <xdr:row>3</xdr:row>
      <xdr:rowOff>57020</xdr:rowOff>
    </xdr:from>
    <xdr:to>
      <xdr:col>2</xdr:col>
      <xdr:colOff>533917</xdr:colOff>
      <xdr:row>4</xdr:row>
      <xdr:rowOff>124409</xdr:rowOff>
    </xdr:to>
    <xdr:pic>
      <xdr:nvPicPr>
        <xdr:cNvPr id="27" name="Graphic 26" descr="Male profile with solid fill">
          <a:extLst>
            <a:ext uri="{FF2B5EF4-FFF2-40B4-BE49-F238E27FC236}">
              <a16:creationId xmlns:a16="http://schemas.microsoft.com/office/drawing/2014/main" id="{4E4CB62C-407A-2CB9-F2ED-ED191EC62254}"/>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1508447" y="601306"/>
          <a:ext cx="248817" cy="248817"/>
        </a:xfrm>
        <a:prstGeom prst="rect">
          <a:avLst/>
        </a:prstGeom>
      </xdr:spPr>
    </xdr:pic>
    <xdr:clientData/>
  </xdr:twoCellAnchor>
  <xdr:twoCellAnchor editAs="oneCell">
    <xdr:from>
      <xdr:col>4</xdr:col>
      <xdr:colOff>259184</xdr:colOff>
      <xdr:row>3</xdr:row>
      <xdr:rowOff>46655</xdr:rowOff>
    </xdr:from>
    <xdr:to>
      <xdr:col>4</xdr:col>
      <xdr:colOff>492450</xdr:colOff>
      <xdr:row>4</xdr:row>
      <xdr:rowOff>98493</xdr:rowOff>
    </xdr:to>
    <xdr:pic>
      <xdr:nvPicPr>
        <xdr:cNvPr id="29" name="Graphic 28" descr="Hourglass Finished with solid fill">
          <a:extLst>
            <a:ext uri="{FF2B5EF4-FFF2-40B4-BE49-F238E27FC236}">
              <a16:creationId xmlns:a16="http://schemas.microsoft.com/office/drawing/2014/main" id="{1F7C1CBE-F712-FFC3-6D6D-D52BD657E3D5}"/>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2705878" y="590941"/>
          <a:ext cx="233266" cy="233266"/>
        </a:xfrm>
        <a:prstGeom prst="rect">
          <a:avLst/>
        </a:prstGeom>
      </xdr:spPr>
    </xdr:pic>
    <xdr:clientData/>
  </xdr:twoCellAnchor>
  <xdr:twoCellAnchor editAs="oneCell">
    <xdr:from>
      <xdr:col>6</xdr:col>
      <xdr:colOff>357675</xdr:colOff>
      <xdr:row>3</xdr:row>
      <xdr:rowOff>31103</xdr:rowOff>
    </xdr:from>
    <xdr:to>
      <xdr:col>6</xdr:col>
      <xdr:colOff>601307</xdr:colOff>
      <xdr:row>4</xdr:row>
      <xdr:rowOff>93307</xdr:rowOff>
    </xdr:to>
    <xdr:pic>
      <xdr:nvPicPr>
        <xdr:cNvPr id="31" name="Graphic 30" descr="Chat with solid fill">
          <a:extLst>
            <a:ext uri="{FF2B5EF4-FFF2-40B4-BE49-F238E27FC236}">
              <a16:creationId xmlns:a16="http://schemas.microsoft.com/office/drawing/2014/main" id="{59720BDA-3574-F0A7-EFD0-64AA941529B7}"/>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4027716" y="575389"/>
          <a:ext cx="243632" cy="243632"/>
        </a:xfrm>
        <a:prstGeom prst="rect">
          <a:avLst/>
        </a:prstGeom>
      </xdr:spPr>
    </xdr:pic>
    <xdr:clientData/>
  </xdr:twoCellAnchor>
  <xdr:twoCellAnchor editAs="oneCell">
    <xdr:from>
      <xdr:col>0</xdr:col>
      <xdr:colOff>72572</xdr:colOff>
      <xdr:row>3</xdr:row>
      <xdr:rowOff>88122</xdr:rowOff>
    </xdr:from>
    <xdr:to>
      <xdr:col>1</xdr:col>
      <xdr:colOff>64349</xdr:colOff>
      <xdr:row>16</xdr:row>
      <xdr:rowOff>72571</xdr:rowOff>
    </xdr:to>
    <mc:AlternateContent xmlns:mc="http://schemas.openxmlformats.org/markup-compatibility/2006" xmlns:a14="http://schemas.microsoft.com/office/drawing/2010/main">
      <mc:Choice Requires="a14">
        <xdr:graphicFrame macro="">
          <xdr:nvGraphicFramePr>
            <xdr:cNvPr id="32" name="Date (Month)">
              <a:extLst>
                <a:ext uri="{FF2B5EF4-FFF2-40B4-BE49-F238E27FC236}">
                  <a16:creationId xmlns:a16="http://schemas.microsoft.com/office/drawing/2014/main" id="{73F55501-80D5-4A9D-BDFC-B5DB7764CED7}"/>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mlns="">
        <xdr:sp macro="" textlink="">
          <xdr:nvSpPr>
            <xdr:cNvPr id="0" name=""/>
            <xdr:cNvSpPr>
              <a:spLocks noTextEdit="1"/>
            </xdr:cNvSpPr>
          </xdr:nvSpPr>
          <xdr:spPr>
            <a:xfrm>
              <a:off x="72572" y="631744"/>
              <a:ext cx="600448" cy="234014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55756</xdr:colOff>
      <xdr:row>5</xdr:row>
      <xdr:rowOff>53274</xdr:rowOff>
    </xdr:from>
    <xdr:to>
      <xdr:col>3</xdr:col>
      <xdr:colOff>18586</xdr:colOff>
      <xdr:row>9</xdr:row>
      <xdr:rowOff>13938</xdr:rowOff>
    </xdr:to>
    <xdr:graphicFrame macro="">
      <xdr:nvGraphicFramePr>
        <xdr:cNvPr id="34" name="Chart 33">
          <a:hlinkClick xmlns:r="http://schemas.openxmlformats.org/officeDocument/2006/relationships" r:id="rId8"/>
          <a:extLst>
            <a:ext uri="{FF2B5EF4-FFF2-40B4-BE49-F238E27FC236}">
              <a16:creationId xmlns:a16="http://schemas.microsoft.com/office/drawing/2014/main" id="{7FFFE3C9-5895-D699-B334-764B3C44B0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xdr:col>
      <xdr:colOff>465666</xdr:colOff>
      <xdr:row>5</xdr:row>
      <xdr:rowOff>76200</xdr:rowOff>
    </xdr:from>
    <xdr:to>
      <xdr:col>5</xdr:col>
      <xdr:colOff>101600</xdr:colOff>
      <xdr:row>8</xdr:row>
      <xdr:rowOff>25399</xdr:rowOff>
    </xdr:to>
    <xdr:graphicFrame macro="">
      <xdr:nvGraphicFramePr>
        <xdr:cNvPr id="2" name="Chart 1">
          <a:hlinkClick xmlns:r="http://schemas.openxmlformats.org/officeDocument/2006/relationships" r:id="rId10"/>
          <a:extLst>
            <a:ext uri="{FF2B5EF4-FFF2-40B4-BE49-F238E27FC236}">
              <a16:creationId xmlns:a16="http://schemas.microsoft.com/office/drawing/2014/main" id="{ACE32396-EF03-4B3C-B094-7757B67D67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4</xdr:col>
      <xdr:colOff>478116</xdr:colOff>
      <xdr:row>5</xdr:row>
      <xdr:rowOff>37353</xdr:rowOff>
    </xdr:from>
    <xdr:to>
      <xdr:col>7</xdr:col>
      <xdr:colOff>224117</xdr:colOff>
      <xdr:row>7</xdr:row>
      <xdr:rowOff>156883</xdr:rowOff>
    </xdr:to>
    <xdr:graphicFrame macro="">
      <xdr:nvGraphicFramePr>
        <xdr:cNvPr id="8" name="Chart 7">
          <a:hlinkClick xmlns:r="http://schemas.openxmlformats.org/officeDocument/2006/relationships" r:id="rId12"/>
          <a:extLst>
            <a:ext uri="{FF2B5EF4-FFF2-40B4-BE49-F238E27FC236}">
              <a16:creationId xmlns:a16="http://schemas.microsoft.com/office/drawing/2014/main" id="{8A3AB4E1-721E-4600-A2E9-EDB47DEED6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xdr:col>
      <xdr:colOff>135112</xdr:colOff>
      <xdr:row>10</xdr:row>
      <xdr:rowOff>119824</xdr:rowOff>
    </xdr:from>
    <xdr:to>
      <xdr:col>7</xdr:col>
      <xdr:colOff>114518</xdr:colOff>
      <xdr:row>16</xdr:row>
      <xdr:rowOff>88932</xdr:rowOff>
    </xdr:to>
    <xdr:graphicFrame macro="">
      <xdr:nvGraphicFramePr>
        <xdr:cNvPr id="37" name="Chart 36">
          <a:extLst>
            <a:ext uri="{FF2B5EF4-FFF2-40B4-BE49-F238E27FC236}">
              <a16:creationId xmlns:a16="http://schemas.microsoft.com/office/drawing/2014/main" id="{0210F9F0-C061-498F-86E6-FD66624CAE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3</xdr:col>
      <xdr:colOff>43530</xdr:colOff>
      <xdr:row>15</xdr:row>
      <xdr:rowOff>131369</xdr:rowOff>
    </xdr:from>
    <xdr:to>
      <xdr:col>5</xdr:col>
      <xdr:colOff>356817</xdr:colOff>
      <xdr:row>17</xdr:row>
      <xdr:rowOff>141386</xdr:rowOff>
    </xdr:to>
    <xdr:sp macro="" textlink="">
      <xdr:nvSpPr>
        <xdr:cNvPr id="38" name="TextBox 37">
          <a:extLst>
            <a:ext uri="{FF2B5EF4-FFF2-40B4-BE49-F238E27FC236}">
              <a16:creationId xmlns:a16="http://schemas.microsoft.com/office/drawing/2014/main" id="{2DDB7C76-D8B1-4C65-AC7B-23F278075EAC}"/>
            </a:ext>
          </a:extLst>
        </xdr:cNvPr>
        <xdr:cNvSpPr txBox="1"/>
      </xdr:nvSpPr>
      <xdr:spPr>
        <a:xfrm>
          <a:off x="1879257" y="2902278"/>
          <a:ext cx="1537105" cy="3794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800"/>
            <a:t>No.</a:t>
          </a:r>
          <a:r>
            <a:rPr lang="en-IN" sz="800" baseline="0"/>
            <a:t> of Patients by Age Group</a:t>
          </a:r>
          <a:endParaRPr lang="en-IN" sz="800"/>
        </a:p>
      </xdr:txBody>
    </xdr:sp>
    <xdr:clientData/>
  </xdr:twoCellAnchor>
  <mc:AlternateContent xmlns:mc="http://schemas.openxmlformats.org/markup-compatibility/2006">
    <mc:Choice xmlns:a14="http://schemas.microsoft.com/office/drawing/2010/main" Requires="a14">
      <xdr:twoCellAnchor editAs="oneCell">
        <xdr:from>
          <xdr:col>1</xdr:col>
          <xdr:colOff>119652</xdr:colOff>
          <xdr:row>7</xdr:row>
          <xdr:rowOff>113355</xdr:rowOff>
        </xdr:from>
        <xdr:to>
          <xdr:col>7</xdr:col>
          <xdr:colOff>44082</xdr:colOff>
          <xdr:row>10</xdr:row>
          <xdr:rowOff>120975</xdr:rowOff>
        </xdr:to>
        <xdr:pic>
          <xdr:nvPicPr>
            <xdr:cNvPr id="18" name="Picture 17">
              <a:extLst>
                <a:ext uri="{FF2B5EF4-FFF2-40B4-BE49-F238E27FC236}">
                  <a16:creationId xmlns:a16="http://schemas.microsoft.com/office/drawing/2014/main" id="{B544E359-C961-977F-B8AC-152B83A8F7B0}"/>
                </a:ext>
              </a:extLst>
            </xdr:cNvPr>
            <xdr:cNvPicPr>
              <a:picLocks noChangeAspect="1" noChangeArrowheads="1"/>
              <a:extLst>
                <a:ext uri="{84589F7E-364E-4C9E-8A38-B11213B215E9}">
                  <a14:cameraTool cellRange="'Pivot Report'!$A$49:$D$51" spid="_x0000_s3136"/>
                </a:ext>
              </a:extLst>
            </xdr:cNvPicPr>
          </xdr:nvPicPr>
          <xdr:blipFill>
            <a:blip xmlns:r="http://schemas.openxmlformats.org/officeDocument/2006/relationships" r:embed="rId15"/>
            <a:srcRect/>
            <a:stretch>
              <a:fillRect/>
            </a:stretch>
          </xdr:blipFill>
          <xdr:spPr bwMode="auto">
            <a:xfrm>
              <a:off x="732394" y="1378118"/>
              <a:ext cx="3600884" cy="549661"/>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7</xdr:col>
      <xdr:colOff>103481</xdr:colOff>
      <xdr:row>0</xdr:row>
      <xdr:rowOff>65854</xdr:rowOff>
    </xdr:from>
    <xdr:to>
      <xdr:col>10</xdr:col>
      <xdr:colOff>150517</xdr:colOff>
      <xdr:row>6</xdr:row>
      <xdr:rowOff>75260</xdr:rowOff>
    </xdr:to>
    <xdr:graphicFrame macro="">
      <xdr:nvGraphicFramePr>
        <xdr:cNvPr id="26" name="Chart 25">
          <a:extLst>
            <a:ext uri="{FF2B5EF4-FFF2-40B4-BE49-F238E27FC236}">
              <a16:creationId xmlns:a16="http://schemas.microsoft.com/office/drawing/2014/main" id="{AAF76517-97B3-425D-A67D-F6CF08C876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6</xdr:col>
      <xdr:colOff>602073</xdr:colOff>
      <xdr:row>5</xdr:row>
      <xdr:rowOff>56444</xdr:rowOff>
    </xdr:from>
    <xdr:to>
      <xdr:col>9</xdr:col>
      <xdr:colOff>303879</xdr:colOff>
      <xdr:row>7</xdr:row>
      <xdr:rowOff>66462</xdr:rowOff>
    </xdr:to>
    <xdr:sp macro="" textlink="">
      <xdr:nvSpPr>
        <xdr:cNvPr id="35" name="TextBox 34">
          <a:extLst>
            <a:ext uri="{FF2B5EF4-FFF2-40B4-BE49-F238E27FC236}">
              <a16:creationId xmlns:a16="http://schemas.microsoft.com/office/drawing/2014/main" id="{1BF27F10-147F-446C-91BF-1965D5C37E4F}"/>
            </a:ext>
          </a:extLst>
        </xdr:cNvPr>
        <xdr:cNvSpPr txBox="1"/>
      </xdr:nvSpPr>
      <xdr:spPr>
        <a:xfrm>
          <a:off x="4270962" y="950148"/>
          <a:ext cx="1536250" cy="3674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800"/>
            <a:t>Patients</a:t>
          </a:r>
          <a:r>
            <a:rPr lang="en-IN" sz="800" baseline="0"/>
            <a:t> attended with time</a:t>
          </a:r>
          <a:endParaRPr lang="en-IN" sz="800"/>
        </a:p>
      </xdr:txBody>
    </xdr:sp>
    <xdr:clientData/>
  </xdr:twoCellAnchor>
  <xdr:twoCellAnchor>
    <xdr:from>
      <xdr:col>9</xdr:col>
      <xdr:colOff>57151</xdr:colOff>
      <xdr:row>0</xdr:row>
      <xdr:rowOff>1</xdr:rowOff>
    </xdr:from>
    <xdr:to>
      <xdr:col>11</xdr:col>
      <xdr:colOff>285750</xdr:colOff>
      <xdr:row>6</xdr:row>
      <xdr:rowOff>139700</xdr:rowOff>
    </xdr:to>
    <xdr:graphicFrame macro="">
      <xdr:nvGraphicFramePr>
        <xdr:cNvPr id="39" name="Chart 38">
          <a:extLst>
            <a:ext uri="{FF2B5EF4-FFF2-40B4-BE49-F238E27FC236}">
              <a16:creationId xmlns:a16="http://schemas.microsoft.com/office/drawing/2014/main" id="{5C284296-C4AE-4ACE-860D-E0EEF3B6EA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9</xdr:col>
      <xdr:colOff>107950</xdr:colOff>
      <xdr:row>5</xdr:row>
      <xdr:rowOff>63500</xdr:rowOff>
    </xdr:from>
    <xdr:to>
      <xdr:col>11</xdr:col>
      <xdr:colOff>419356</xdr:colOff>
      <xdr:row>7</xdr:row>
      <xdr:rowOff>73518</xdr:rowOff>
    </xdr:to>
    <xdr:sp macro="" textlink="">
      <xdr:nvSpPr>
        <xdr:cNvPr id="40" name="TextBox 39">
          <a:extLst>
            <a:ext uri="{FF2B5EF4-FFF2-40B4-BE49-F238E27FC236}">
              <a16:creationId xmlns:a16="http://schemas.microsoft.com/office/drawing/2014/main" id="{86DAD8D8-CDA3-4480-964D-455FE562DDD6}"/>
            </a:ext>
          </a:extLst>
        </xdr:cNvPr>
        <xdr:cNvSpPr txBox="1"/>
      </xdr:nvSpPr>
      <xdr:spPr>
        <a:xfrm>
          <a:off x="5594350" y="984250"/>
          <a:ext cx="1530606" cy="3783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800"/>
            <a:t>Gender wise Analysis</a:t>
          </a:r>
        </a:p>
      </xdr:txBody>
    </xdr:sp>
    <xdr:clientData/>
  </xdr:twoCellAnchor>
  <xdr:twoCellAnchor>
    <xdr:from>
      <xdr:col>7</xdr:col>
      <xdr:colOff>69274</xdr:colOff>
      <xdr:row>6</xdr:row>
      <xdr:rowOff>29689</xdr:rowOff>
    </xdr:from>
    <xdr:to>
      <xdr:col>11</xdr:col>
      <xdr:colOff>178130</xdr:colOff>
      <xdr:row>16</xdr:row>
      <xdr:rowOff>49480</xdr:rowOff>
    </xdr:to>
    <xdr:graphicFrame macro="">
      <xdr:nvGraphicFramePr>
        <xdr:cNvPr id="41" name="Chart 40">
          <a:extLst>
            <a:ext uri="{FF2B5EF4-FFF2-40B4-BE49-F238E27FC236}">
              <a16:creationId xmlns:a16="http://schemas.microsoft.com/office/drawing/2014/main" id="{E70B6374-ABA9-448A-89E4-6CDC216518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7</xdr:col>
      <xdr:colOff>326572</xdr:colOff>
      <xdr:row>15</xdr:row>
      <xdr:rowOff>79169</xdr:rowOff>
    </xdr:from>
    <xdr:to>
      <xdr:col>11</xdr:col>
      <xdr:colOff>178130</xdr:colOff>
      <xdr:row>17</xdr:row>
      <xdr:rowOff>89187</xdr:rowOff>
    </xdr:to>
    <xdr:sp macro="" textlink="">
      <xdr:nvSpPr>
        <xdr:cNvPr id="42" name="TextBox 41">
          <a:extLst>
            <a:ext uri="{FF2B5EF4-FFF2-40B4-BE49-F238E27FC236}">
              <a16:creationId xmlns:a16="http://schemas.microsoft.com/office/drawing/2014/main" id="{7E8B4ACF-5BCF-4DF1-847B-1276A1218511}"/>
            </a:ext>
          </a:extLst>
        </xdr:cNvPr>
        <xdr:cNvSpPr txBox="1"/>
      </xdr:nvSpPr>
      <xdr:spPr>
        <a:xfrm>
          <a:off x="4621481" y="2751117"/>
          <a:ext cx="2305792" cy="3662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800"/>
            <a:t>No.of</a:t>
          </a:r>
          <a:r>
            <a:rPr lang="en-IN" sz="800" baseline="0"/>
            <a:t> Patients by department referral</a:t>
          </a:r>
          <a:endParaRPr lang="en-IN" sz="800"/>
        </a:p>
      </xdr:txBody>
    </xdr:sp>
    <xdr:clientData/>
  </xdr:twoCellAnchor>
  <xdr:twoCellAnchor editAs="oneCell">
    <xdr:from>
      <xdr:col>5</xdr:col>
      <xdr:colOff>263611</xdr:colOff>
      <xdr:row>0</xdr:row>
      <xdr:rowOff>24714</xdr:rowOff>
    </xdr:from>
    <xdr:to>
      <xdr:col>7</xdr:col>
      <xdr:colOff>90617</xdr:colOff>
      <xdr:row>3</xdr:row>
      <xdr:rowOff>37071</xdr:rowOff>
    </xdr:to>
    <mc:AlternateContent xmlns:mc="http://schemas.openxmlformats.org/markup-compatibility/2006" xmlns:a14="http://schemas.microsoft.com/office/drawing/2010/main">
      <mc:Choice Requires="a14">
        <xdr:graphicFrame macro="">
          <xdr:nvGraphicFramePr>
            <xdr:cNvPr id="43" name="Date (Year)">
              <a:extLst>
                <a:ext uri="{FF2B5EF4-FFF2-40B4-BE49-F238E27FC236}">
                  <a16:creationId xmlns:a16="http://schemas.microsoft.com/office/drawing/2014/main" id="{9BDB1DD8-FCE4-42EA-AFA2-5307707A310C}"/>
                </a:ext>
              </a:extLst>
            </xdr:cNvPr>
            <xdr:cNvGraphicFramePr>
              <a:graphicFrameLocks noChangeAspect="1"/>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mlns="">
        <xdr:sp macro="" textlink="">
          <xdr:nvSpPr>
            <xdr:cNvPr id="0" name=""/>
            <xdr:cNvSpPr>
              <a:spLocks noTextEdit="1"/>
            </xdr:cNvSpPr>
          </xdr:nvSpPr>
          <xdr:spPr>
            <a:xfrm>
              <a:off x="3307102" y="24714"/>
              <a:ext cx="1044403" cy="5669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11</xdr:col>
      <xdr:colOff>502920</xdr:colOff>
      <xdr:row>19</xdr:row>
      <xdr:rowOff>7620</xdr:rowOff>
    </xdr:to>
    <xdr:graphicFrame macro="">
      <xdr:nvGraphicFramePr>
        <xdr:cNvPr id="2" name="Chart 1">
          <a:extLst>
            <a:ext uri="{FF2B5EF4-FFF2-40B4-BE49-F238E27FC236}">
              <a16:creationId xmlns:a16="http://schemas.microsoft.com/office/drawing/2014/main" id="{553F04C9-78CF-441E-B89E-83F4F1CCAB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c:userShapes xmlns:c="http://schemas.openxmlformats.org/drawingml/2006/chart">
  <cdr:relSizeAnchor xmlns:cdr="http://schemas.openxmlformats.org/drawingml/2006/chartDrawing">
    <cdr:from>
      <cdr:x>0</cdr:x>
      <cdr:y>0</cdr:y>
    </cdr:from>
    <cdr:to>
      <cdr:x>0.07505</cdr:x>
      <cdr:y>0.15536</cdr:y>
    </cdr:to>
    <cdr:pic>
      <cdr:nvPicPr>
        <cdr:cNvPr id="3" name="Graphic 2" descr="Hom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B61E9F3F-5BDF-7415-CA57-3307A2B3B8F0}"/>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0" y="0"/>
          <a:ext cx="541020" cy="541020"/>
        </a:xfrm>
        <a:prstGeom xmlns:a="http://schemas.openxmlformats.org/drawingml/2006/main" prst="rect">
          <a:avLst/>
        </a:prstGeom>
      </cdr:spPr>
    </cdr:pic>
  </cdr:relSizeAnchor>
</c:userShapes>
</file>

<file path=xl/drawings/drawing5.xml><?xml version="1.0" encoding="utf-8"?>
<xdr:wsDr xmlns:xdr="http://schemas.openxmlformats.org/drawingml/2006/spreadsheetDrawing" xmlns:a="http://schemas.openxmlformats.org/drawingml/2006/main">
  <xdr:twoCellAnchor>
    <xdr:from>
      <xdr:col>0</xdr:col>
      <xdr:colOff>0</xdr:colOff>
      <xdr:row>0</xdr:row>
      <xdr:rowOff>0</xdr:rowOff>
    </xdr:from>
    <xdr:to>
      <xdr:col>14</xdr:col>
      <xdr:colOff>121920</xdr:colOff>
      <xdr:row>21</xdr:row>
      <xdr:rowOff>137160</xdr:rowOff>
    </xdr:to>
    <xdr:graphicFrame macro="">
      <xdr:nvGraphicFramePr>
        <xdr:cNvPr id="2" name="Chart 1">
          <a:extLst>
            <a:ext uri="{FF2B5EF4-FFF2-40B4-BE49-F238E27FC236}">
              <a16:creationId xmlns:a16="http://schemas.microsoft.com/office/drawing/2014/main" id="{73FD43FC-F13D-40D1-9748-3189971EEE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c:userShapes xmlns:c="http://schemas.openxmlformats.org/drawingml/2006/chart">
  <cdr:relSizeAnchor xmlns:cdr="http://schemas.openxmlformats.org/drawingml/2006/chartDrawing">
    <cdr:from>
      <cdr:x>0</cdr:x>
      <cdr:y>0</cdr:y>
    </cdr:from>
    <cdr:to>
      <cdr:x>0.10132</cdr:x>
      <cdr:y>0.20783</cdr:y>
    </cdr:to>
    <cdr:pic>
      <cdr:nvPicPr>
        <cdr:cNvPr id="3" name="Graphic 2" descr="Hom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40F624E6-0122-7BF6-C168-718FCBFD4469}"/>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0" y="0"/>
          <a:ext cx="525780" cy="525780"/>
        </a:xfrm>
        <a:prstGeom xmlns:a="http://schemas.openxmlformats.org/drawingml/2006/main" prst="rect">
          <a:avLst/>
        </a:prstGeom>
      </cdr:spPr>
    </cdr:pic>
  </cdr:relSizeAnchor>
</c:userShapes>
</file>

<file path=xl/drawings/drawing7.xml><?xml version="1.0" encoding="utf-8"?>
<xdr:wsDr xmlns:xdr="http://schemas.openxmlformats.org/drawingml/2006/spreadsheetDrawing" xmlns:a="http://schemas.openxmlformats.org/drawingml/2006/main">
  <xdr:twoCellAnchor>
    <xdr:from>
      <xdr:col>0</xdr:col>
      <xdr:colOff>0</xdr:colOff>
      <xdr:row>0</xdr:row>
      <xdr:rowOff>0</xdr:rowOff>
    </xdr:from>
    <xdr:to>
      <xdr:col>16</xdr:col>
      <xdr:colOff>484909</xdr:colOff>
      <xdr:row>29</xdr:row>
      <xdr:rowOff>138545</xdr:rowOff>
    </xdr:to>
    <xdr:graphicFrame macro="">
      <xdr:nvGraphicFramePr>
        <xdr:cNvPr id="3" name="Chart 2">
          <a:extLst>
            <a:ext uri="{FF2B5EF4-FFF2-40B4-BE49-F238E27FC236}">
              <a16:creationId xmlns:a16="http://schemas.microsoft.com/office/drawing/2014/main" id="{B6E0AAF0-E125-4A49-B240-BF5C020416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0</xdr:row>
      <xdr:rowOff>0</xdr:rowOff>
    </xdr:from>
    <xdr:to>
      <xdr:col>1</xdr:col>
      <xdr:colOff>302491</xdr:colOff>
      <xdr:row>4</xdr:row>
      <xdr:rowOff>175491</xdr:rowOff>
    </xdr:to>
    <xdr:pic>
      <xdr:nvPicPr>
        <xdr:cNvPr id="5" name="Graphic 4" descr="Home with solid fill">
          <a:hlinkClick xmlns:r="http://schemas.openxmlformats.org/officeDocument/2006/relationships" r:id="rId2"/>
          <a:extLst>
            <a:ext uri="{FF2B5EF4-FFF2-40B4-BE49-F238E27FC236}">
              <a16:creationId xmlns:a16="http://schemas.microsoft.com/office/drawing/2014/main" id="{246BF7B5-BC95-CA7F-1BF8-30624C13647C}"/>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0" y="0"/>
          <a:ext cx="914400" cy="91440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mara" refreshedDate="46322.043362500001" createdVersion="5" refreshedVersion="8" minRefreshableVersion="3" recordCount="0" supportSubquery="1" supportAdvancedDrill="1" xr:uid="{5F705898-28C0-4B6A-BD92-BB387CC58605}">
  <cacheSource type="external" connectionId="3"/>
  <cacheFields count="4">
    <cacheField name="[Measures].[Distinct Count of Patient Id]" caption="Distinct Count of Patient Id" numFmtId="0" hierarchy="24" level="32767"/>
    <cacheField name="[Calendar_Table].[Date (Day)].[Date (Day)]" caption="Date (Day)" numFmtId="0" hierarchy="2" level="1">
      <sharedItems count="31">
        <s v="1-Jul"/>
        <s v="2-Jul"/>
        <s v="3-Jul"/>
        <s v="4-Jul"/>
        <s v="5-Jul"/>
        <s v="6-Jul"/>
        <s v="7-Jul"/>
        <s v="8-Jul"/>
        <s v="9-Jul"/>
        <s v="10-Jul"/>
        <s v="11-Jul"/>
        <s v="12-Jul"/>
        <s v="13-Jul"/>
        <s v="14-Jul"/>
        <s v="15-Jul"/>
        <s v="16-Jul"/>
        <s v="17-Jul"/>
        <s v="18-Jul"/>
        <s v="19-Jul"/>
        <s v="20-Jul"/>
        <s v="21-Jul"/>
        <s v="22-Jul"/>
        <s v="23-Jul"/>
        <s v="24-Jul"/>
        <s v="25-Jul"/>
        <s v="26-Jul"/>
        <s v="27-Jul"/>
        <s v="28-Jul"/>
        <s v="29-Jul"/>
        <s v="30-Jul"/>
        <s v="31-Jul"/>
      </sharedItems>
    </cacheField>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2"/>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1"/>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mara" refreshedDate="46322.043362731485" createdVersion="5" refreshedVersion="8" minRefreshableVersion="3" recordCount="0" supportSubquery="1" supportAdvancedDrill="1" xr:uid="{07CA167A-8BD7-456B-B0DF-B08056CD19A7}">
  <cacheSource type="external" connectionId="3"/>
  <cacheFields count="3">
    <cacheField name="[Measures].[Distinct Count of Patient Id]" caption="Distinct Count of Patient Id" numFmtId="0" hierarchy="24"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mara" refreshedDate="46322.043363078701" createdVersion="5" refreshedVersion="8" minRefreshableVersion="3" recordCount="0" supportSubquery="1" supportAdvancedDrill="1" xr:uid="{A868700D-E4A9-4797-AE2F-FA27E314B864}">
  <cacheSource type="external" connectionId="3"/>
  <cacheFields count="3">
    <cacheField name="[Measures].[Average of Patient Waittime]" caption="Average of Patient Waittime" numFmtId="0" hierarchy="26"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mara" refreshedDate="46322.043363310186" createdVersion="5" refreshedVersion="8" minRefreshableVersion="3" recordCount="0" supportSubquery="1" supportAdvancedDrill="1" xr:uid="{156C950B-9689-4BFC-A4DB-30FE3BECBD39}">
  <cacheSource type="external" connectionId="3"/>
  <cacheFields count="3">
    <cacheField name="[Measures].[Average of Patient Satisfaction Score]" caption="Average of Patient Satisfaction Score" numFmtId="0" hierarchy="28"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mara" refreshedDate="46322.043363888886" createdVersion="5" refreshedVersion="8" minRefreshableVersion="3" recordCount="0" supportSubquery="1" supportAdvancedDrill="1" xr:uid="{613D7DD5-BC03-45B2-8A3B-94B453E063D3}">
  <cacheSource type="external" connectionId="3"/>
  <cacheFields count="4">
    <cacheField name="[Calendar_Table].[Date (Day)].[Date (Day)]" caption="Date (Day)" numFmtId="0" hierarchy="2" level="1">
      <sharedItems count="31">
        <s v="1-Jul"/>
        <s v="2-Jul"/>
        <s v="3-Jul"/>
        <s v="4-Jul"/>
        <s v="5-Jul"/>
        <s v="6-Jul"/>
        <s v="7-Jul"/>
        <s v="8-Jul"/>
        <s v="9-Jul"/>
        <s v="10-Jul"/>
        <s v="11-Jul"/>
        <s v="12-Jul"/>
        <s v="13-Jul"/>
        <s v="14-Jul"/>
        <s v="15-Jul"/>
        <s v="16-Jul"/>
        <s v="17-Jul"/>
        <s v="18-Jul"/>
        <s v="19-Jul"/>
        <s v="20-Jul"/>
        <s v="21-Jul"/>
        <s v="22-Jul"/>
        <s v="23-Jul"/>
        <s v="24-Jul"/>
        <s v="25-Jul"/>
        <s v="26-Jul"/>
        <s v="27-Jul"/>
        <s v="28-Jul"/>
        <s v="29-Jul"/>
        <s v="30-Jul"/>
        <s v="31-Jul"/>
      </sharedItems>
    </cacheField>
    <cacheField name="[Calendar_Table].[Date (Month)].[Date (Month)]" caption="Date (Month)" numFmtId="0" hierarchy="1" level="1">
      <sharedItems containsSemiMixedTypes="0" containsNonDate="0" containsString="0"/>
    </cacheField>
    <cacheField name="[Measures].[Average of Patient Waittime]" caption="Average of Patient Waittime" numFmtId="0" hierarchy="26" level="32767"/>
    <cacheField name="[Calendar_Table].[Date (Year)].[Date (Year)]" caption="Date (Year)" numFmtId="0" hierarchy="3" level="1">
      <sharedItems containsSemiMixedTypes="0" containsNonDate="0" containsString="0"/>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0"/>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mara" refreshedDate="46322.043364699071" createdVersion="5" refreshedVersion="8" minRefreshableVersion="3" recordCount="0" supportSubquery="1" supportAdvancedDrill="1" xr:uid="{C10161D3-3007-4D15-A2D2-F4E9BC9F2C60}">
  <cacheSource type="external" connectionId="3"/>
  <cacheFields count="4">
    <cacheField name="[Calendar_Table].[Date (Day)].[Date (Day)]" caption="Date (Day)" numFmtId="0" hierarchy="2" level="1">
      <sharedItems count="31">
        <s v="1-Jul"/>
        <s v="2-Jul"/>
        <s v="3-Jul"/>
        <s v="4-Jul"/>
        <s v="5-Jul"/>
        <s v="6-Jul"/>
        <s v="7-Jul"/>
        <s v="8-Jul"/>
        <s v="9-Jul"/>
        <s v="10-Jul"/>
        <s v="11-Jul"/>
        <s v="12-Jul"/>
        <s v="13-Jul"/>
        <s v="14-Jul"/>
        <s v="15-Jul"/>
        <s v="16-Jul"/>
        <s v="17-Jul"/>
        <s v="18-Jul"/>
        <s v="19-Jul"/>
        <s v="20-Jul"/>
        <s v="21-Jul"/>
        <s v="22-Jul"/>
        <s v="23-Jul"/>
        <s v="24-Jul"/>
        <s v="25-Jul"/>
        <s v="26-Jul"/>
        <s v="27-Jul"/>
        <s v="28-Jul"/>
        <s v="29-Jul"/>
        <s v="30-Jul"/>
        <s v="31-Jul"/>
      </sharedItems>
    </cacheField>
    <cacheField name="[Calendar_Table].[Date (Month)].[Date (Month)]" caption="Date (Month)" numFmtId="0" hierarchy="1" level="1">
      <sharedItems containsSemiMixedTypes="0" containsNonDate="0" containsString="0"/>
    </cacheField>
    <cacheField name="[Measures].[Average of Patient Satisfaction Score]" caption="Average of Patient Satisfaction Score" numFmtId="0" hierarchy="28" level="32767"/>
    <cacheField name="[Calendar_Table].[Date (Year)].[Date (Year)]" caption="Date (Year)" numFmtId="0" hierarchy="3" level="1">
      <sharedItems containsSemiMixedTypes="0" containsNonDate="0" containsString="0"/>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0"/>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mara" refreshedDate="46322.043365277779" createdVersion="5" refreshedVersion="8" minRefreshableVersion="3" recordCount="0" supportSubquery="1" supportAdvancedDrill="1" xr:uid="{3D68A6BA-7CA8-4F2A-8231-A62F7C93B573}">
  <cacheSource type="external" connectionId="3"/>
  <cacheFields count="4">
    <cacheField name="[Calendar_Table].[Date (Month)].[Date (Month)]" caption="Date (Month)" numFmtId="0" hierarchy="1" level="1">
      <sharedItems containsSemiMixedTypes="0" containsNonDate="0" containsString="0"/>
    </cacheField>
    <cacheField name="[Hospital Emergency Room Data].[Age Group].[Age Group]" caption="Age Group" numFmtId="0" hierarchy="16" level="1">
      <sharedItems count="8">
        <s v="0-09"/>
        <s v="10-19"/>
        <s v="20-29"/>
        <s v="30-39"/>
        <s v="40-49"/>
        <s v="50-59"/>
        <s v="60-69"/>
        <s v="70-79"/>
      </sharedItems>
    </cacheField>
    <cacheField name="[Measures].[Count of Age Group]" caption="Count of Age Group" numFmtId="0" hierarchy="31" level="32767"/>
    <cacheField name="[Calendar_Table].[Date (Year)].[Date (Year)]" caption="Date (Year)" numFmtId="0" hierarchy="3" level="1">
      <sharedItems containsSemiMixedTypes="0" containsNonDate="0" containsString="0"/>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1"/>
      </fieldsUsage>
    </cacheHierarchy>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oneField="1" hidden="1">
      <fieldsUsage count="1">
        <fieldUsage x="2"/>
      </fieldsUsage>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mara" refreshedDate="46322.043366087964" createdVersion="5" refreshedVersion="8" minRefreshableVersion="3" recordCount="0" supportSubquery="1" supportAdvancedDrill="1" xr:uid="{11A0ECF8-181E-4DD5-B07C-EFA5F875A701}">
  <cacheSource type="external" connectionId="3"/>
  <cacheFields count="4">
    <cacheField name="[Calendar_Table].[Date (Month)].[Date (Month)]" caption="Date (Month)" numFmtId="0" hierarchy="1" level="1">
      <sharedItems containsSemiMixedTypes="0" containsNonDate="0" containsString="0"/>
    </cacheField>
    <cacheField name="[Hospital Emergency Room Data].[Patient Attend Status].[Patient Attend Status]" caption="Patient Attend Status" numFmtId="0" hierarchy="17" level="1">
      <sharedItems count="2">
        <s v="Delay"/>
        <s v="On time"/>
      </sharedItems>
    </cacheField>
    <cacheField name="[Measures].[Count of Patient Attend Status]" caption="Count of Patient Attend Status" numFmtId="0" hierarchy="32" level="32767"/>
    <cacheField name="[Calendar_Table].[Date (Year)].[Date (Year)]" caption="Date (Year)" numFmtId="0" hierarchy="3" level="1">
      <sharedItems containsSemiMixedTypes="0" containsNonDate="0" containsString="0"/>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fieldsUsage count="2">
        <fieldUsage x="-1"/>
        <fieldUsage x="1"/>
      </fieldsUsage>
    </cacheHierarchy>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oneField="1" hidden="1">
      <fieldsUsage count="1">
        <fieldUsage x="2"/>
      </fieldsUsage>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mara" refreshedDate="46322.043367361111" createdVersion="5" refreshedVersion="8" minRefreshableVersion="3" recordCount="0" supportSubquery="1" supportAdvancedDrill="1" xr:uid="{83ECCD64-D292-4F3F-99E8-8F3F978356E1}">
  <cacheSource type="external" connectionId="3"/>
  <cacheFields count="5">
    <cacheField name="[Calendar_Table].[Date (Month)].[Date (Month)]" caption="Date (Month)" numFmtId="0" hierarchy="1" level="1">
      <sharedItems containsSemiMixedTypes="0" containsNonDate="0" containsString="0"/>
    </cacheField>
    <cacheField name="[Hospital Emergency Room Data].[Patient Admission Flag].[Patient Admission Flag]" caption="Patient Admission Flag" numFmtId="0" hierarchy="13" level="1">
      <sharedItems count="2">
        <s v="Admitted"/>
        <s v="Not Admitted"/>
      </sharedItems>
    </cacheField>
    <cacheField name="[Measures].[Count of Patient Admission Flag]" caption="Count of Patient Admission Flag" numFmtId="0" hierarchy="29" level="32767"/>
    <cacheField name="[Calendar_Table].[Date (Year)].[Date (Year)]" caption="Date (Year)" numFmtId="0" hierarchy="3" level="1">
      <sharedItems containsSemiMixedTypes="0" containsNonDate="0" containsString="0"/>
    </cacheField>
    <cacheField name="Unsupported0" numFmtId="0" hierarchy="35" level="32767">
      <extLst>
        <ext xmlns:x14="http://schemas.microsoft.com/office/spreadsheetml/2009/9/main" uri="{63CAB8AC-B538-458d-9737-405883B0398D}">
          <x14:cacheField ignore="1"/>
        </ext>
      </extLst>
    </cacheField>
  </cacheFields>
  <cacheHierarchies count="36">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1"/>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oneField="1" hidden="1">
      <fieldsUsage count="1">
        <fieldUsage x="2"/>
      </fieldsUsage>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Unsupported0" caption="Date" measure="1" count="0">
      <extLst>
        <ext xmlns:x14="http://schemas.microsoft.com/office/spreadsheetml/2009/9/main" uri="{8CF416AD-EC4C-4aba-99F5-12A058AE0983}">
          <x14:cacheHierarchy ignore="1"/>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mara" refreshedDate="46322.043368055558" createdVersion="5" refreshedVersion="8" minRefreshableVersion="3" recordCount="0" supportSubquery="1" supportAdvancedDrill="1" xr:uid="{E46DD0DD-75BB-4A67-8970-EE4837E0C95D}">
  <cacheSource type="external" connectionId="3"/>
  <cacheFields count="4">
    <cacheField name="[Calendar_Table].[Date (Month)].[Date (Month)]" caption="Date (Month)" numFmtId="0" hierarchy="1" level="1">
      <sharedItems containsSemiMixedTypes="0" containsNonDate="0" containsString="0"/>
    </cacheField>
    <cacheField name="[Hospital Emergency Room Data].[Patient Gender].[Patient Gender]" caption="Patient Gender" numFmtId="0" hierarchy="9" level="1">
      <sharedItems count="2">
        <s v="Female"/>
        <s v="Male"/>
      </sharedItems>
    </cacheField>
    <cacheField name="[Measures].[Count of Patient Gender]" caption="Count of Patient Gender" numFmtId="0" hierarchy="33" level="32767"/>
    <cacheField name="[Calendar_Table].[Date (Year)].[Date (Year)]" caption="Date (Year)" numFmtId="0" hierarchy="3" level="1">
      <sharedItems containsSemiMixedTypes="0" containsNonDate="0" containsString="0"/>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1"/>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oneField="1" hidden="1">
      <fieldsUsage count="1">
        <fieldUsage x="2"/>
      </fieldsUsage>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mara" refreshedDate="46322.043369212966" createdVersion="5" refreshedVersion="8" minRefreshableVersion="3" recordCount="0" supportSubquery="1" supportAdvancedDrill="1" xr:uid="{914EB9F0-D681-46F5-B9D8-B1542D5390A1}">
  <cacheSource type="external" connectionId="3"/>
  <cacheFields count="4">
    <cacheField name="[Calendar_Table].[Date (Month)].[Date (Month)]" caption="Date (Month)" numFmtId="0" hierarchy="1" level="1">
      <sharedItems containsSemiMixedTypes="0" containsNonDate="0" containsString="0"/>
    </cacheField>
    <cacheField name="[Hospital Emergency Room Data].[Department Referral].[Department Referral]" caption="Department Referral" numFmtId="0" hierarchy="12" level="1">
      <sharedItems count="8">
        <s v="Cardiology"/>
        <s v="Gastroenterology"/>
        <s v="General Practice"/>
        <s v="Neurology"/>
        <s v="None"/>
        <s v="Orthopedics"/>
        <s v="Physiotherapy"/>
        <s v="Renal"/>
      </sharedItems>
    </cacheField>
    <cacheField name="[Measures].[Count of Department Referral]" caption="Count of Department Referral" numFmtId="0" hierarchy="34" level="32767"/>
    <cacheField name="[Calendar_Table].[Date (Year)].[Date (Year)]" caption="Date (Year)" numFmtId="0" hierarchy="3" level="1">
      <sharedItems containsSemiMixedTypes="0" containsNonDate="0" containsString="0"/>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1"/>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oneField="1" hidden="1">
      <fieldsUsage count="1">
        <fieldUsage x="2"/>
      </fieldsUsage>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mara" refreshedDate="46322.04337013889" createdVersion="5" refreshedVersion="8" minRefreshableVersion="3" recordCount="0" supportSubquery="1" supportAdvancedDrill="1" xr:uid="{5C97848A-95D1-4727-94B9-813BFC7AE972}">
  <cacheSource type="external" connectionId="3"/>
  <cacheFields count="4">
    <cacheField name="[Calendar_Table].[Date (Month)].[Date (Month)]" caption="Date (Month)" numFmtId="0" hierarchy="1" level="1">
      <sharedItems count="1">
        <s v="Feb"/>
      </sharedItems>
    </cacheField>
    <cacheField name="[Calendar_Table].[Date].[Date]" caption="Date" numFmtId="0" level="1">
      <sharedItems containsSemiMixedTypes="0" containsNonDate="0" containsDate="1" containsString="0" minDate="2023-02-01T00:00:00" maxDate="2024-03-01T00:00:00" count="57">
        <d v="2023-02-01T00:00:00"/>
        <d v="2023-02-02T00:00:00"/>
        <d v="2023-02-03T00:00:00"/>
        <d v="2023-02-04T00:00:00"/>
        <d v="2023-02-05T00:00:00"/>
        <d v="2023-02-06T00:00:00"/>
        <d v="2023-02-07T00:00:00"/>
        <d v="2023-02-08T00:00:00"/>
        <d v="2023-02-09T00:00:00"/>
        <d v="2023-02-10T00:00:00"/>
        <d v="2023-02-11T00:00:00"/>
        <d v="2023-02-12T00:00:00"/>
        <d v="2023-02-13T00:00:00"/>
        <d v="2023-02-14T00:00:00"/>
        <d v="2023-02-15T00:00:00"/>
        <d v="2023-02-16T00:00:00"/>
        <d v="2023-02-17T00:00:00"/>
        <d v="2023-02-18T00:00:00"/>
        <d v="2023-02-19T00:00:00"/>
        <d v="2023-02-20T00:00:00"/>
        <d v="2023-02-21T00:00:00"/>
        <d v="2023-02-22T00:00:00"/>
        <d v="2023-02-23T00:00:00"/>
        <d v="2023-02-24T00:00:00"/>
        <d v="2023-02-25T00:00:00"/>
        <d v="2023-02-26T00:00:00"/>
        <d v="2023-02-27T00:00:00"/>
        <d v="2023-02-28T00:00:00"/>
        <d v="2024-02-01T00:00:00"/>
        <d v="2024-02-02T00:00:00"/>
        <d v="2024-02-03T00:00:00"/>
        <d v="2024-02-04T00:00:00"/>
        <d v="2024-02-05T00:00:00"/>
        <d v="2024-02-06T00:00:00"/>
        <d v="2024-02-07T00:00:00"/>
        <d v="2024-02-08T00:00:00"/>
        <d v="2024-02-09T00:00:00"/>
        <d v="2024-02-10T00:00:00"/>
        <d v="2024-02-11T00:00:00"/>
        <d v="2024-02-12T00:00:00"/>
        <d v="2024-02-13T00:00:00"/>
        <d v="2024-02-14T00:00:00"/>
        <d v="2024-02-15T00:00:00"/>
        <d v="2024-02-16T00:00:00"/>
        <d v="2024-02-17T00:00:00"/>
        <d v="2024-02-18T00:00:00"/>
        <d v="2024-02-19T00:00:00"/>
        <d v="2024-02-20T00:00:00"/>
        <d v="2024-02-21T00:00:00"/>
        <d v="2024-02-22T00:00:00"/>
        <d v="2024-02-23T00:00:00"/>
        <d v="2024-02-24T00:00:00"/>
        <d v="2024-02-25T00:00:00"/>
        <d v="2024-02-26T00:00:00"/>
        <d v="2024-02-27T00:00:00"/>
        <d v="2024-02-28T00:00:00"/>
        <d v="2024-02-29T00:00:00"/>
      </sharedItems>
    </cacheField>
    <cacheField name="[Calendar_Table].[Date (Quarter)].[Date (Quarter)]" caption="Date (Quarter)" numFmtId="0" hierarchy="4" level="1">
      <sharedItems count="1">
        <s v="Qtr1"/>
      </sharedItems>
    </cacheField>
    <cacheField name="[Calendar_Table].[Date (Year)].[Date (Year)]" caption="Date (Year)" numFmtId="0" hierarchy="3" level="1">
      <sharedItems count="1">
        <s v="2024"/>
      </sharedItems>
    </cacheField>
  </cacheFields>
  <cacheHierarchies count="35">
    <cacheHierarchy uniqueName="[Calendar_Table].[Date]" caption="Date" attribute="1" time="1" defaultMemberUniqueName="[Calendar_Table].[Date].[All]" allUniqueName="[Calendar_Table].[Date].[All]" dimensionUniqueName="[Calendar_Table]" displayFolder="" count="2" memberValueDatatype="7" unbalanced="0">
      <fieldsUsage count="2">
        <fieldUsage x="-1"/>
        <fieldUsage x="1"/>
      </fieldsUsage>
    </cacheHierarchy>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2" memberValueDatatype="130" unbalanced="0">
      <fieldsUsage count="2">
        <fieldUsage x="-1"/>
        <fieldUsage x="2"/>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2"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cacheHierarchy uniqueName="[Calendar_Table].[Date (Day Index)]" caption="Date (Day Index)" attribute="1" defaultMemberUniqueName="[Calendar_Table].[Date (Day Index)].[All]" allUniqueName="[Calendar_Table].[Date (Day Index)].[All]" dimensionUniqueName="[Calendar_Table]" displayFolder="" count="2"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mara" refreshedDate="46322.008795254631" createdVersion="3" refreshedVersion="8" minRefreshableVersion="3" recordCount="0" supportSubquery="1" supportAdvancedDrill="1" xr:uid="{C4DDC5A9-49CC-4784-9EBC-FDE072D622D0}">
  <cacheSource type="external" connectionId="3">
    <extLst>
      <ext xmlns:x14="http://schemas.microsoft.com/office/spreadsheetml/2009/9/main" uri="{F057638F-6D5F-4e77-A914-E7F072B9BCA8}">
        <x14:sourceConnection name="ThisWorkbookDataModel"/>
      </ext>
    </extLst>
  </cacheSource>
  <cacheFields count="0"/>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809170259"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D533318-BA89-4923-A94C-3D3A1F48ED1E}" name="PivotTable1" cacheId="162" applyNumberFormats="0" applyBorderFormats="0" applyFontFormats="0" applyPatternFormats="0" applyAlignmentFormats="0" applyWidthHeightFormats="1" dataCaption="Values" tag="343123d2-b5b5-474d-85e3-f13e740903ec" updatedVersion="8" minRefreshableVersion="3" subtotalHiddenItems="1" itemPrintTitles="1" createdVersion="5" indent="0" outline="1" outlineData="1" multipleFieldFilters="0">
  <location ref="A4:A5"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35">
    <pivotHierarchy dragToData="1"/>
    <pivotHierarchy multipleItemSelectionAllowed="1" dragToData="1">
      <members count="1" level="1">
        <member name="[Calendar_Table].[Date (Month)].&amp;[Jul]"/>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CB4ABA4-19DB-423E-A8A2-D9E3484B2144}" name="PivotTable7" cacheId="177" applyNumberFormats="0" applyBorderFormats="0" applyFontFormats="0" applyPatternFormats="0" applyAlignmentFormats="0" applyWidthHeightFormats="1" dataCaption="Values" tag="282f9de7-b474-438a-b723-60edc5d36faa" updatedVersion="8" minRefreshableVersion="3" useAutoFormatting="1" subtotalHiddenItems="1" itemPrintTitles="1" createdVersion="5" indent="0" outline="1" outlineData="1" multipleFieldFilters="0" chartFormat="24">
  <location ref="A56:B65"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1"/>
  </rowFields>
  <rowItems count="9">
    <i>
      <x/>
    </i>
    <i>
      <x v="1"/>
    </i>
    <i>
      <x v="2"/>
    </i>
    <i>
      <x v="3"/>
    </i>
    <i>
      <x v="4"/>
    </i>
    <i>
      <x v="5"/>
    </i>
    <i>
      <x v="6"/>
    </i>
    <i>
      <x v="7"/>
    </i>
    <i t="grand">
      <x/>
    </i>
  </rowItems>
  <colItems count="1">
    <i/>
  </colItems>
  <dataFields count="1">
    <dataField name="Count of Age Group" fld="2" subtotal="count" baseField="0" baseItem="0" numFmtId="1"/>
  </dataFields>
  <formats count="1">
    <format dxfId="70">
      <pivotArea outline="0" collapsedLevelsAreSubtotals="1" fieldPosition="0"/>
    </format>
  </formats>
  <chartFormats count="2">
    <chartFormat chart="18" format="0"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ar_Table].[Date (Month)].&amp;[Jul]"/>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DB06C35-BDA9-4E82-A01C-6164FB52528E}" name="PivotTable9" cacheId="183" applyNumberFormats="0" applyBorderFormats="0" applyFontFormats="0" applyPatternFormats="0" applyAlignmentFormats="0" applyWidthHeightFormats="1" dataCaption="Values" tag="077c4015-2499-4a27-986a-3637627e8aa6" updatedVersion="8" minRefreshableVersion="3" subtotalHiddenItems="1" itemPrintTitles="1" createdVersion="5" indent="0" outline="1" outlineData="1" multipleFieldFilters="0" chartFormat="36">
  <location ref="A36:C39" firstHeaderRow="0" firstDataRow="1" firstDataCol="1"/>
  <pivotFields count="5">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1"/>
  </rowFields>
  <rowItems count="3">
    <i>
      <x/>
    </i>
    <i>
      <x v="1"/>
    </i>
    <i t="grand">
      <x/>
    </i>
  </rowItems>
  <colFields count="1">
    <field x="-2"/>
  </colFields>
  <colItems count="2">
    <i>
      <x/>
    </i>
    <i i="1">
      <x v="1"/>
    </i>
  </colItems>
  <dataFields count="2">
    <dataField name="Count of Patient Admission Flag" fld="2" subtotal="count" baseField="0" baseItem="0"/>
    <dataField name="Count of Patient Admission Flag2" fld="4" subtotal="count" showDataAs="percentOfTotal" baseField="0" baseItem="0" numFmtId="10">
      <extLst>
        <ext xmlns:x14="http://schemas.microsoft.com/office/spreadsheetml/2009/9/main" uri="{E15A36E0-9728-4e99-A89B-3F7291B0FE68}">
          <x14:dataField sourceField="2" uniqueName="[__Xl2].[Measures].[Count of Patient Admission Flag]"/>
        </ext>
      </extLst>
    </dataField>
  </dataFields>
  <formats count="2">
    <format dxfId="72">
      <pivotArea outline="0" collapsedLevelsAreSubtotals="1" fieldPosition="0"/>
    </format>
    <format dxfId="71">
      <pivotArea outline="0" fieldPosition="0">
        <references count="1">
          <reference field="4294967294" count="1">
            <x v="1"/>
          </reference>
        </references>
      </pivotArea>
    </format>
  </formats>
  <chartFormats count="4">
    <chartFormat chart="26" format="0" series="1">
      <pivotArea type="data" outline="0" fieldPosition="0">
        <references count="1">
          <reference field="4294967294" count="1" selected="0">
            <x v="0"/>
          </reference>
        </references>
      </pivotArea>
    </chartFormat>
    <chartFormat chart="26" format="1" series="1">
      <pivotArea type="data" outline="0" fieldPosition="0">
        <references count="1">
          <reference field="4294967294" count="1" selected="0">
            <x v="1"/>
          </reference>
        </references>
      </pivotArea>
    </chartFormat>
    <chartFormat chart="26" format="2">
      <pivotArea type="data" outline="0" fieldPosition="0">
        <references count="2">
          <reference field="4294967294" count="1" selected="0">
            <x v="0"/>
          </reference>
          <reference field="1" count="1" selected="0">
            <x v="0"/>
          </reference>
        </references>
      </pivotArea>
    </chartFormat>
    <chartFormat chart="26" format="3">
      <pivotArea type="data" outline="0" fieldPosition="0">
        <references count="2">
          <reference field="4294967294" count="1" selected="0">
            <x v="0"/>
          </reference>
          <reference field="1" count="1" selected="0">
            <x v="1"/>
          </reference>
        </references>
      </pivotArea>
    </chartFormat>
  </chartFormats>
  <pivotHierarchies count="36">
    <pivotHierarchy dragToData="1"/>
    <pivotHierarchy multipleItemSelectionAllowed="1" dragToData="1">
      <members count="1" level="1">
        <member name="[Calendar_Table].[Date (Month)].&amp;[Jul]"/>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743B03A-5282-44B6-9566-CC8BB22D0836}" name="PivotTable5" cacheId="159" applyNumberFormats="0" applyBorderFormats="0" applyFontFormats="0" applyPatternFormats="0" applyAlignmentFormats="0" applyWidthHeightFormats="1" dataCaption="Values" tag="0a74d4ca-d7c1-45fa-8951-4fd4581c38e4" updatedVersion="8" minRefreshableVersion="3" subtotalHiddenItems="1" itemPrintTitles="1" createdVersion="5" indent="0" outline="1" outlineData="1" multipleFieldFilters="0" chartFormat="9">
  <location ref="E4:F36" firstHeaderRow="1" firstDataRow="1" firstDataCol="1"/>
  <pivotFields count="4">
    <pivotField dataField="1" subtotalTop="0" showAll="0" defaultSubtotal="0"/>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chartFormats count="5">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ar_Table].[Date (Month)].&amp;[Jul]"/>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0217516-55E3-46EE-BEFD-0D2265CE0240}" name="PivotTable8" cacheId="180" applyNumberFormats="0" applyBorderFormats="0" applyFontFormats="0" applyPatternFormats="0" applyAlignmentFormats="0" applyWidthHeightFormats="1" dataCaption="Values" tag="ec65ac62-d905-437c-8d80-5e53e425877a" updatedVersion="8" minRefreshableVersion="3" useAutoFormatting="1" subtotalHiddenItems="1" itemPrintTitles="1" createdVersion="5" indent="0" outline="1" outlineData="1" multipleFieldFilters="0" chartFormat="37">
  <location ref="A68:B71"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Attend Status" fld="2" subtotal="count" baseField="0" baseItem="0"/>
  </dataFields>
  <formats count="2">
    <format dxfId="74">
      <pivotArea outline="0" collapsedLevelsAreSubtotals="1" fieldPosition="0"/>
    </format>
    <format dxfId="73">
      <pivotArea collapsedLevelsAreSubtotals="1" fieldPosition="0">
        <references count="1">
          <reference field="1" count="0"/>
        </references>
      </pivotArea>
    </format>
  </formats>
  <chartFormats count="3">
    <chartFormat chart="33" format="4" series="1">
      <pivotArea type="data" outline="0" fieldPosition="0">
        <references count="1">
          <reference field="4294967294" count="1" selected="0">
            <x v="0"/>
          </reference>
        </references>
      </pivotArea>
    </chartFormat>
    <chartFormat chart="33" format="5">
      <pivotArea type="data" outline="0" fieldPosition="0">
        <references count="2">
          <reference field="4294967294" count="1" selected="0">
            <x v="0"/>
          </reference>
          <reference field="1" count="1" selected="0">
            <x v="0"/>
          </reference>
        </references>
      </pivotArea>
    </chartFormat>
    <chartFormat chart="33" format="6">
      <pivotArea type="data" outline="0" fieldPosition="0">
        <references count="2">
          <reference field="4294967294" count="1" selected="0">
            <x v="0"/>
          </reference>
          <reference field="1" count="1" selected="0">
            <x v="1"/>
          </reference>
        </references>
      </pivotArea>
    </chartFormat>
  </chartFormats>
  <pivotHierarchies count="35">
    <pivotHierarchy dragToData="1"/>
    <pivotHierarchy multipleItemSelectionAllowed="1" dragToData="1">
      <members count="1" level="1">
        <member name="[Calendar_Table].[Date (Month)].&amp;[Jul]"/>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FCF54AD-8B22-4A62-AA9B-D345F6591000}" name="PivotTable2" cacheId="171" applyNumberFormats="0" applyBorderFormats="0" applyFontFormats="0" applyPatternFormats="0" applyAlignmentFormats="0" applyWidthHeightFormats="1" dataCaption="Values" tag="0a74d4ca-d7c1-45fa-8951-4fd4581c38e4" updatedVersion="8" minRefreshableVersion="3" subtotalHiddenItems="1" itemPrintTitles="1" createdVersion="5" indent="0" outline="1" outlineData="1" multipleFieldFilters="0" chartFormat="78">
  <location ref="I4:J36" firstHeaderRow="1" firstDataRow="1" firstDataCol="1"/>
  <pivotFields count="4">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Waittime" fld="2" subtotal="average" baseField="0" baseItem="1" numFmtId="2"/>
  </dataFields>
  <formats count="1">
    <format dxfId="75">
      <pivotArea outline="0" collapsedLevelsAreSubtotals="1" fieldPosition="0"/>
    </format>
  </formats>
  <chartFormats count="2">
    <chartFormat chart="11" format="2" series="1">
      <pivotArea type="data" outline="0" fieldPosition="0">
        <references count="1">
          <reference field="4294967294" count="1" selected="0">
            <x v="0"/>
          </reference>
        </references>
      </pivotArea>
    </chartFormat>
    <chartFormat chart="16" format="4"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ar_Table].[Date (Month)].&amp;[Jul]"/>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DDB2FDD-618C-4834-BE69-A3E8E2B53BDC}" name="PivotTable3" cacheId="165" applyNumberFormats="0" applyBorderFormats="0" applyFontFormats="0" applyPatternFormats="0" applyAlignmentFormats="0" applyWidthHeightFormats="1" dataCaption="Values" tag="fa8e3303-1104-486f-8720-7cb442c8235b" updatedVersion="8" minRefreshableVersion="3" subtotalHiddenItems="1" itemPrintTitles="1" createdVersion="5" indent="0" outline="1" outlineData="1" multipleFieldFilters="0">
  <location ref="A8:A9"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76">
      <pivotArea outline="0" collapsedLevelsAreSubtotals="1" fieldPosition="0"/>
    </format>
  </formats>
  <pivotHierarchies count="35">
    <pivotHierarchy dragToData="1"/>
    <pivotHierarchy multipleItemSelectionAllowed="1" dragToData="1">
      <members count="1" level="1">
        <member name="[Calendar_Table].[Date (Month)].&amp;[Jul]"/>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50F732F-6668-451A-8FB2-9BE8E2A6A4BB}" name="PivotTable12" cacheId="192" applyNumberFormats="0" applyBorderFormats="0" applyFontFormats="0" applyPatternFormats="0" applyAlignmentFormats="0" applyWidthHeightFormats="1" dataCaption="Values" tag="dfd80a4e-aef1-40cb-b0ee-6d61703d478d" updatedVersion="8" minRefreshableVersion="3" useAutoFormatting="1" subtotalHiddenItems="1" itemPrintTitles="1" createdVersion="5" indent="0" outline="1" outlineData="1" multipleFieldFilters="0" chartFormat="45">
  <location ref="A91:A93" firstHeaderRow="1" firstDataRow="1" firstDataCol="1"/>
  <pivotFields count="4">
    <pivotField axis="axisRow" allDrilled="1" subtotalTop="0" showAll="0" dataSourceSort="1" defaultSubtotal="0">
      <items count="1">
        <item x="0" e="0"/>
      </items>
    </pivotField>
    <pivotField axis="axisRow" allDrilled="1" subtotalTop="0" showAll="0" dataSourceSort="1" defaultSubtotal="0" defaultAttributeDrillState="1">
      <items count="5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s>
    </pivotField>
    <pivotField axis="axisRow" allDrilled="1" subtotalTop="0" showAll="0" dataSourceSort="1" defaultSubtotal="0">
      <items count="1">
        <item x="0" e="0"/>
      </items>
    </pivotField>
    <pivotField axis="axisRow" allDrilled="1" subtotalTop="0" showAll="0" dataSourceSort="1" defaultSubtotal="0">
      <items count="1">
        <item s="1" x="0" e="0"/>
      </items>
    </pivotField>
  </pivotFields>
  <rowFields count="4">
    <field x="3"/>
    <field x="2"/>
    <field x="0"/>
    <field x="1"/>
  </rowFields>
  <rowItems count="2">
    <i>
      <x/>
    </i>
    <i t="grand">
      <x/>
    </i>
  </rowItems>
  <formats count="1">
    <format dxfId="77">
      <pivotArea outline="0" collapsedLevelsAreSubtotals="1" fieldPosition="0"/>
    </format>
  </formats>
  <pivotHierarchies count="35">
    <pivotHierarchy dragToData="1"/>
    <pivotHierarchy multipleItemSelectionAllowed="1" dragToData="1">
      <members count="1" level="1">
        <member name="[Calendar_Table].[Date (Month)].&amp;[Jul]"/>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3"/>
    <rowHierarchyUsage hierarchyUsage="4"/>
    <rowHierarchyUsage hierarchyUsage="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EFB3851-8C83-4906-AC0C-819DC7B50C4D}" name="PivotTable11" cacheId="189" applyNumberFormats="0" applyBorderFormats="0" applyFontFormats="0" applyPatternFormats="0" applyAlignmentFormats="0" applyWidthHeightFormats="1" dataCaption="Values" tag="9648addc-1e58-44e1-83ee-7088b87c6039" updatedVersion="8" minRefreshableVersion="3" useAutoFormatting="1" subtotalHiddenItems="1" itemPrintTitles="1" createdVersion="5" indent="0" outline="1" outlineData="1" multipleFieldFilters="0" chartFormat="45">
  <location ref="A80:B89" firstHeaderRow="1" firstDataRow="1" firstDataCol="1"/>
  <pivotFields count="4">
    <pivotField allDrilled="1" subtotalTop="0" showAll="0" dataSourceSort="1" defaultSubtotal="0" defaultAttributeDrillState="1"/>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9">
    <i>
      <x v="7"/>
    </i>
    <i>
      <x v="3"/>
    </i>
    <i>
      <x/>
    </i>
    <i>
      <x v="1"/>
    </i>
    <i>
      <x v="6"/>
    </i>
    <i>
      <x v="5"/>
    </i>
    <i>
      <x v="2"/>
    </i>
    <i>
      <x v="4"/>
    </i>
    <i t="grand">
      <x/>
    </i>
  </rowItems>
  <colItems count="1">
    <i/>
  </colItems>
  <dataFields count="1">
    <dataField name="Count of Department Referral" fld="2" subtotal="count" baseField="0" baseItem="0"/>
  </dataFields>
  <formats count="2">
    <format dxfId="79">
      <pivotArea outline="0" collapsedLevelsAreSubtotals="1" fieldPosition="0"/>
    </format>
    <format dxfId="78">
      <pivotArea collapsedLevelsAreSubtotals="1" fieldPosition="0">
        <references count="1">
          <reference field="1" count="0"/>
        </references>
      </pivotArea>
    </format>
  </formats>
  <chartFormats count="1">
    <chartFormat chart="44" format="2"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ar_Table].[Date (Month)].&amp;[Jul]"/>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BB6C81A-19E5-4622-B215-CACE0D62E795}" name="PivotTable4" cacheId="168" applyNumberFormats="0" applyBorderFormats="0" applyFontFormats="0" applyPatternFormats="0" applyAlignmentFormats="0" applyWidthHeightFormats="1" dataCaption="Values" tag="5aaa54ef-a674-4db3-943a-9393ea2e72a9" updatedVersion="8" minRefreshableVersion="3" subtotalHiddenItems="1" itemPrintTitles="1" createdVersion="5" indent="0" outline="1" outlineData="1" multipleFieldFilters="0">
  <location ref="A13:A14"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dataFields>
  <formats count="1">
    <format dxfId="80">
      <pivotArea outline="0" collapsedLevelsAreSubtotals="1" fieldPosition="0"/>
    </format>
  </formats>
  <pivotHierarchies count="35">
    <pivotHierarchy dragToData="1"/>
    <pivotHierarchy multipleItemSelectionAllowed="1" dragToData="1">
      <members count="1" level="1">
        <member name="[Calendar_Table].[Date (Month)].&amp;[Jul]"/>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A452F1AA-44A9-4A70-B2CE-4721BA7B5E3F}" name="PivotTable6" cacheId="174" applyNumberFormats="0" applyBorderFormats="0" applyFontFormats="0" applyPatternFormats="0" applyAlignmentFormats="0" applyWidthHeightFormats="1" dataCaption="Values" tag="0a74d4ca-d7c1-45fa-8951-4fd4581c38e4" updatedVersion="8" minRefreshableVersion="3" subtotalHiddenItems="1" itemPrintTitles="1" createdVersion="5" indent="0" outline="1" outlineData="1" multipleFieldFilters="0" chartFormat="134">
  <location ref="M4:N36" firstHeaderRow="1" firstDataRow="1" firstDataCol="1"/>
  <pivotFields count="4">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Satisfaction Score" fld="2" subtotal="average" baseField="0" baseItem="8"/>
  </dataFields>
  <formats count="1">
    <format dxfId="81">
      <pivotArea outline="0" collapsedLevelsAreSubtotals="1" fieldPosition="0"/>
    </format>
  </formats>
  <chartFormats count="2">
    <chartFormat chart="81" format="2" series="1">
      <pivotArea type="data" outline="0" fieldPosition="0">
        <references count="1">
          <reference field="4294967294" count="1" selected="0">
            <x v="0"/>
          </reference>
        </references>
      </pivotArea>
    </chartFormat>
    <chartFormat chart="84" format="4"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ar_Table].[Date (Month)].&amp;[Jul]"/>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1DA6234-59F0-4F83-8CA6-EFC7531DFCDD}" name="PivotTable10" cacheId="186" applyNumberFormats="0" applyBorderFormats="0" applyFontFormats="0" applyPatternFormats="0" applyAlignmentFormats="0" applyWidthHeightFormats="1" dataCaption="Values" tag="dbee2b29-c2ae-4d8e-b8a5-ce5dd3c6de58" updatedVersion="8" minRefreshableVersion="3" useAutoFormatting="1" subtotalHiddenItems="1" itemPrintTitles="1" createdVersion="5" indent="0" outline="1" outlineData="1" multipleFieldFilters="0" chartFormat="41">
  <location ref="A75:B78"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Gender" fld="2" subtotal="count" baseField="0" baseItem="0"/>
  </dataFields>
  <formats count="2">
    <format dxfId="83">
      <pivotArea outline="0" collapsedLevelsAreSubtotals="1" fieldPosition="0"/>
    </format>
    <format dxfId="82">
      <pivotArea collapsedLevelsAreSubtotals="1" fieldPosition="0">
        <references count="1">
          <reference field="1" count="0"/>
        </references>
      </pivotArea>
    </format>
  </formats>
  <chartFormats count="6">
    <chartFormat chart="37" format="0" series="1">
      <pivotArea type="data" outline="0" fieldPosition="0">
        <references count="1">
          <reference field="4294967294" count="1" selected="0">
            <x v="0"/>
          </reference>
        </references>
      </pivotArea>
    </chartFormat>
    <chartFormat chart="40" format="4" series="1">
      <pivotArea type="data" outline="0" fieldPosition="0">
        <references count="1">
          <reference field="4294967294" count="1" selected="0">
            <x v="0"/>
          </reference>
        </references>
      </pivotArea>
    </chartFormat>
    <chartFormat chart="40" format="5">
      <pivotArea type="data" outline="0" fieldPosition="0">
        <references count="2">
          <reference field="4294967294" count="1" selected="0">
            <x v="0"/>
          </reference>
          <reference field="1" count="1" selected="0">
            <x v="0"/>
          </reference>
        </references>
      </pivotArea>
    </chartFormat>
    <chartFormat chart="40" format="6">
      <pivotArea type="data" outline="0" fieldPosition="0">
        <references count="2">
          <reference field="4294967294" count="1" selected="0">
            <x v="0"/>
          </reference>
          <reference field="1" count="1" selected="0">
            <x v="1"/>
          </reference>
        </references>
      </pivotArea>
    </chartFormat>
    <chartFormat chart="37" format="1">
      <pivotArea type="data" outline="0" fieldPosition="0">
        <references count="2">
          <reference field="4294967294" count="1" selected="0">
            <x v="0"/>
          </reference>
          <reference field="1" count="1" selected="0">
            <x v="0"/>
          </reference>
        </references>
      </pivotArea>
    </chartFormat>
    <chartFormat chart="37" format="2">
      <pivotArea type="data" outline="0" fieldPosition="0">
        <references count="2">
          <reference field="4294967294" count="1" selected="0">
            <x v="0"/>
          </reference>
          <reference field="1" count="1" selected="0">
            <x v="1"/>
          </reference>
        </references>
      </pivotArea>
    </chartFormat>
  </chartFormats>
  <pivotHierarchies count="35">
    <pivotHierarchy dragToData="1"/>
    <pivotHierarchy multipleItemSelectionAllowed="1" dragToData="1">
      <members count="1" level="1">
        <member name="[Calendar_Table].[Date (Month)].&amp;[Jul]"/>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39D8AF10-F090-46C0-81AD-17A272C76D50}" sourceName="[Calendar_Table].[Date (Month)]">
  <pivotTables>
    <pivotTable tabId="1" name="PivotTable5"/>
    <pivotTable tabId="1" name="PivotTable1"/>
    <pivotTable tabId="1" name="PivotTable3"/>
    <pivotTable tabId="1" name="PivotTable4"/>
    <pivotTable tabId="1" name="PivotTable2"/>
    <pivotTable tabId="1" name="PivotTable6"/>
    <pivotTable tabId="1" name="PivotTable7"/>
    <pivotTable tabId="1" name="PivotTable8"/>
    <pivotTable tabId="1" name="PivotTable9"/>
    <pivotTable tabId="1" name="PivotTable10"/>
    <pivotTable tabId="1" name="PivotTable11"/>
    <pivotTable tabId="1" name="PivotTable12"/>
  </pivotTables>
  <data>
    <olap pivotCacheId="809170259">
      <levels count="2">
        <level uniqueName="[Calendar_Table].[Date (Month)].[(All)]" sourceCaption="(All)" count="0"/>
        <level uniqueName="[Calendar_Table].[Date (Month)].[Date (Month)]" sourceCaption="Date (Month)" count="12">
          <ranges>
            <range startItem="0">
              <i n="[Calendar_Table].[Date (Month)].&amp;[Jan]" c="Jan"/>
              <i n="[Calendar_Table].[Date (Month)].&amp;[Feb]" c="Feb"/>
              <i n="[Calendar_Table].[Date (Month)].&amp;[Mar]" c="Mar"/>
              <i n="[Calendar_Table].[Date (Month)].&amp;[Apr]" c="Apr"/>
              <i n="[Calendar_Table].[Date (Month)].&amp;[May]" c="May"/>
              <i n="[Calendar_Table].[Date (Month)].&amp;[Jun]" c="Jun"/>
              <i n="[Calendar_Table].[Date (Month)].&amp;[Jul]" c="Jul"/>
              <i n="[Calendar_Table].[Date (Month)].&amp;[Aug]" c="Aug"/>
              <i n="[Calendar_Table].[Date (Month)].&amp;[Sep]" c="Sep"/>
              <i n="[Calendar_Table].[Date (Month)].&amp;[Oct]" c="Oct"/>
              <i n="[Calendar_Table].[Date (Month)].&amp;[Nov]" c="Nov"/>
              <i n="[Calendar_Table].[Date (Month)].&amp;[Dec]" c="Dec"/>
            </range>
          </ranges>
        </level>
      </levels>
      <selections count="1">
        <selection n="[Calendar_Table].[Date (Month)].&amp;[Ju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9C666AFC-366A-4774-9DCC-72D77AB2B36C}" sourceName="[Calendar_Table].[Date (Year)]">
  <pivotTables>
    <pivotTable tabId="1" name="PivotTable12"/>
    <pivotTable tabId="1" name="PivotTable1"/>
    <pivotTable tabId="1" name="PivotTable10"/>
    <pivotTable tabId="1" name="PivotTable11"/>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s>
  <data>
    <olap pivotCacheId="809170259">
      <levels count="2">
        <level uniqueName="[Calendar_Table].[Date (Year)].[(All)]" sourceCaption="(All)" count="0"/>
        <level uniqueName="[Calendar_Table].[Date (Year)].[Date (Year)]" sourceCaption="Date (Year)" count="2">
          <ranges>
            <range startItem="0">
              <i n="[Calendar_Table].[Date (Year)].&amp;[2023]" c="2023"/>
              <i n="[Calendar_Table].[Date (Year)].&amp;[2024]" c="2024"/>
            </range>
          </ranges>
        </level>
      </levels>
      <selections count="1">
        <selection n="[Calendar_Table].[Date (Year)].&amp;[2024]"/>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xr10:uid="{8246C077-14AA-4430-A7EA-1DF51DD00CC4}" cache="Slicer_Date__Month" caption="Date (Month)" showCaption="0" level="1" style="My_style 5" rowHeight="144000"/>
  <slicer name="Date (Year)" xr10:uid="{B4AFF7E4-6056-43C3-B420-4BDCB7DB6743}" cache="Slicer_Date__Year" caption="Date (Year)" showCaption="0" level="1" style="My_style 5" rowHeight="180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1.bin"/><Relationship Id="rId4" Type="http://schemas.microsoft.com/office/2007/relationships/slicer" Target="../slicers/slicer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C4F766-F1F3-466D-ABBA-2494CDF2B2FF}">
  <dimension ref="A3:N93"/>
  <sheetViews>
    <sheetView topLeftCell="A27" zoomScale="96" zoomScaleNormal="144" workbookViewId="0">
      <selection activeCell="D44" sqref="D44"/>
    </sheetView>
  </sheetViews>
  <sheetFormatPr defaultRowHeight="14.4" x14ac:dyDescent="0.3"/>
  <cols>
    <col min="1" max="1" width="13.109375" bestFit="1" customWidth="1"/>
    <col min="2" max="2" width="27.44140625" bestFit="1" customWidth="1"/>
    <col min="3" max="3" width="29.77734375" bestFit="1" customWidth="1"/>
    <col min="4" max="4" width="24.88671875" customWidth="1"/>
    <col min="5" max="5" width="23.88671875" bestFit="1" customWidth="1"/>
    <col min="6" max="6" width="24.33203125" bestFit="1" customWidth="1"/>
    <col min="9" max="9" width="12.5546875" bestFit="1" customWidth="1"/>
    <col min="10" max="10" width="23.88671875" bestFit="1" customWidth="1"/>
    <col min="13" max="13" width="12.5546875" bestFit="1" customWidth="1"/>
    <col min="14" max="14" width="32.44140625" bestFit="1" customWidth="1"/>
  </cols>
  <sheetData>
    <row r="3" spans="1:14" x14ac:dyDescent="0.3">
      <c r="A3" t="s">
        <v>1</v>
      </c>
      <c r="E3" t="s">
        <v>6</v>
      </c>
      <c r="I3" t="s">
        <v>7</v>
      </c>
      <c r="M3" t="s">
        <v>9</v>
      </c>
    </row>
    <row r="4" spans="1:14" x14ac:dyDescent="0.3">
      <c r="A4" t="s">
        <v>0</v>
      </c>
      <c r="E4" s="1" t="s">
        <v>4</v>
      </c>
      <c r="F4" t="s">
        <v>0</v>
      </c>
      <c r="I4" s="1" t="s">
        <v>4</v>
      </c>
      <c r="J4" t="s">
        <v>2</v>
      </c>
      <c r="M4" s="1" t="s">
        <v>4</v>
      </c>
      <c r="N4" t="s">
        <v>3</v>
      </c>
    </row>
    <row r="5" spans="1:14" x14ac:dyDescent="0.3">
      <c r="A5" s="18">
        <v>488</v>
      </c>
      <c r="E5" s="4" t="s">
        <v>43</v>
      </c>
      <c r="F5" s="18">
        <v>17</v>
      </c>
      <c r="I5" s="4" t="s">
        <v>43</v>
      </c>
      <c r="J5" s="2">
        <v>36.941176470588232</v>
      </c>
      <c r="M5" s="4" t="s">
        <v>43</v>
      </c>
      <c r="N5" s="2">
        <v>4.125</v>
      </c>
    </row>
    <row r="6" spans="1:14" x14ac:dyDescent="0.3">
      <c r="E6" s="4" t="s">
        <v>44</v>
      </c>
      <c r="F6" s="18">
        <v>19</v>
      </c>
      <c r="I6" s="4" t="s">
        <v>44</v>
      </c>
      <c r="J6" s="2">
        <v>30.842105263157894</v>
      </c>
      <c r="M6" s="4" t="s">
        <v>44</v>
      </c>
      <c r="N6" s="2">
        <v>5.333333333333333</v>
      </c>
    </row>
    <row r="7" spans="1:14" x14ac:dyDescent="0.3">
      <c r="E7" s="4" t="s">
        <v>45</v>
      </c>
      <c r="F7" s="18">
        <v>12</v>
      </c>
      <c r="I7" s="4" t="s">
        <v>45</v>
      </c>
      <c r="J7" s="2">
        <v>31.833333333333332</v>
      </c>
      <c r="M7" s="4" t="s">
        <v>45</v>
      </c>
      <c r="N7" s="2">
        <v>4.75</v>
      </c>
    </row>
    <row r="8" spans="1:14" x14ac:dyDescent="0.3">
      <c r="A8" t="s">
        <v>2</v>
      </c>
      <c r="E8" s="4" t="s">
        <v>46</v>
      </c>
      <c r="F8" s="18">
        <v>9</v>
      </c>
      <c r="I8" s="4" t="s">
        <v>46</v>
      </c>
      <c r="J8" s="2">
        <v>33.777777777777779</v>
      </c>
      <c r="M8" s="4" t="s">
        <v>46</v>
      </c>
      <c r="N8" s="2">
        <v>2</v>
      </c>
    </row>
    <row r="9" spans="1:14" x14ac:dyDescent="0.3">
      <c r="A9" s="2">
        <v>35.19877049180328</v>
      </c>
      <c r="E9" s="4" t="s">
        <v>47</v>
      </c>
      <c r="F9" s="18">
        <v>15</v>
      </c>
      <c r="I9" s="4" t="s">
        <v>47</v>
      </c>
      <c r="J9" s="2">
        <v>30.466666666666665</v>
      </c>
      <c r="M9" s="4" t="s">
        <v>47</v>
      </c>
      <c r="N9" s="2">
        <v>8</v>
      </c>
    </row>
    <row r="10" spans="1:14" x14ac:dyDescent="0.3">
      <c r="E10" s="4" t="s">
        <v>48</v>
      </c>
      <c r="F10" s="18">
        <v>10</v>
      </c>
      <c r="I10" s="4" t="s">
        <v>48</v>
      </c>
      <c r="J10" s="2">
        <v>38.799999999999997</v>
      </c>
      <c r="M10" s="4" t="s">
        <v>48</v>
      </c>
      <c r="N10" s="2">
        <v>3.5</v>
      </c>
    </row>
    <row r="11" spans="1:14" x14ac:dyDescent="0.3">
      <c r="E11" s="4" t="s">
        <v>49</v>
      </c>
      <c r="F11" s="18">
        <v>18</v>
      </c>
      <c r="I11" s="4" t="s">
        <v>49</v>
      </c>
      <c r="J11" s="2">
        <v>30.277777777777779</v>
      </c>
      <c r="M11" s="4" t="s">
        <v>49</v>
      </c>
      <c r="N11" s="2">
        <v>7</v>
      </c>
    </row>
    <row r="12" spans="1:14" x14ac:dyDescent="0.3">
      <c r="E12" s="4" t="s">
        <v>50</v>
      </c>
      <c r="F12" s="18">
        <v>19</v>
      </c>
      <c r="I12" s="4" t="s">
        <v>50</v>
      </c>
      <c r="J12" s="2">
        <v>35.157894736842103</v>
      </c>
      <c r="M12" s="4" t="s">
        <v>50</v>
      </c>
      <c r="N12" s="2">
        <v>3.5</v>
      </c>
    </row>
    <row r="13" spans="1:14" x14ac:dyDescent="0.3">
      <c r="A13" t="s">
        <v>3</v>
      </c>
      <c r="E13" s="4" t="s">
        <v>51</v>
      </c>
      <c r="F13" s="18">
        <v>19</v>
      </c>
      <c r="I13" s="4" t="s">
        <v>51</v>
      </c>
      <c r="J13" s="2">
        <v>37.94736842105263</v>
      </c>
      <c r="M13" s="4" t="s">
        <v>51</v>
      </c>
      <c r="N13" s="2">
        <v>6.4</v>
      </c>
    </row>
    <row r="14" spans="1:14" x14ac:dyDescent="0.3">
      <c r="A14" s="2">
        <v>4.7876712328767121</v>
      </c>
      <c r="E14" s="4" t="s">
        <v>52</v>
      </c>
      <c r="F14" s="18">
        <v>13</v>
      </c>
      <c r="I14" s="4" t="s">
        <v>52</v>
      </c>
      <c r="J14" s="2">
        <v>33.92307692307692</v>
      </c>
      <c r="M14" s="4" t="s">
        <v>52</v>
      </c>
      <c r="N14" s="2">
        <v>3.5</v>
      </c>
    </row>
    <row r="15" spans="1:14" x14ac:dyDescent="0.3">
      <c r="E15" s="4" t="s">
        <v>53</v>
      </c>
      <c r="F15" s="18">
        <v>15</v>
      </c>
      <c r="I15" s="4" t="s">
        <v>53</v>
      </c>
      <c r="J15" s="2">
        <v>33.200000000000003</v>
      </c>
      <c r="M15" s="4" t="s">
        <v>53</v>
      </c>
      <c r="N15" s="2">
        <v>6.5</v>
      </c>
    </row>
    <row r="16" spans="1:14" x14ac:dyDescent="0.3">
      <c r="E16" s="4" t="s">
        <v>54</v>
      </c>
      <c r="F16" s="18">
        <v>25</v>
      </c>
      <c r="I16" s="4" t="s">
        <v>54</v>
      </c>
      <c r="J16" s="2">
        <v>40.159999999999997</v>
      </c>
      <c r="M16" s="4" t="s">
        <v>54</v>
      </c>
      <c r="N16" s="2">
        <v>5.2857142857142856</v>
      </c>
    </row>
    <row r="17" spans="5:14" x14ac:dyDescent="0.3">
      <c r="E17" s="4" t="s">
        <v>55</v>
      </c>
      <c r="F17" s="18">
        <v>19</v>
      </c>
      <c r="I17" s="4" t="s">
        <v>55</v>
      </c>
      <c r="J17" s="2">
        <v>41.578947368421055</v>
      </c>
      <c r="M17" s="4" t="s">
        <v>55</v>
      </c>
      <c r="N17" s="2">
        <v>4.333333333333333</v>
      </c>
    </row>
    <row r="18" spans="5:14" x14ac:dyDescent="0.3">
      <c r="E18" s="4" t="s">
        <v>56</v>
      </c>
      <c r="F18" s="18">
        <v>15</v>
      </c>
      <c r="I18" s="4" t="s">
        <v>56</v>
      </c>
      <c r="J18" s="2">
        <v>36.866666666666667</v>
      </c>
      <c r="M18" s="4" t="s">
        <v>56</v>
      </c>
      <c r="N18" s="2">
        <v>3</v>
      </c>
    </row>
    <row r="19" spans="5:14" x14ac:dyDescent="0.3">
      <c r="E19" s="4" t="s">
        <v>57</v>
      </c>
      <c r="F19" s="18">
        <v>14</v>
      </c>
      <c r="I19" s="4" t="s">
        <v>57</v>
      </c>
      <c r="J19" s="2">
        <v>33.714285714285715</v>
      </c>
      <c r="M19" s="4" t="s">
        <v>57</v>
      </c>
      <c r="N19" s="2">
        <v>4.333333333333333</v>
      </c>
    </row>
    <row r="20" spans="5:14" x14ac:dyDescent="0.3">
      <c r="E20" s="4" t="s">
        <v>58</v>
      </c>
      <c r="F20" s="18">
        <v>20</v>
      </c>
      <c r="I20" s="4" t="s">
        <v>58</v>
      </c>
      <c r="J20" s="2">
        <v>33.700000000000003</v>
      </c>
      <c r="M20" s="4" t="s">
        <v>58</v>
      </c>
      <c r="N20" s="2">
        <v>3.3333333333333335</v>
      </c>
    </row>
    <row r="21" spans="5:14" x14ac:dyDescent="0.3">
      <c r="E21" s="4" t="s">
        <v>59</v>
      </c>
      <c r="F21" s="18">
        <v>14</v>
      </c>
      <c r="I21" s="4" t="s">
        <v>59</v>
      </c>
      <c r="J21" s="2">
        <v>34.642857142857146</v>
      </c>
      <c r="M21" s="4" t="s">
        <v>59</v>
      </c>
      <c r="N21" s="2">
        <v>2.5714285714285716</v>
      </c>
    </row>
    <row r="22" spans="5:14" x14ac:dyDescent="0.3">
      <c r="E22" s="4" t="s">
        <v>60</v>
      </c>
      <c r="F22" s="18">
        <v>14</v>
      </c>
      <c r="I22" s="4" t="s">
        <v>60</v>
      </c>
      <c r="J22" s="2">
        <v>36.5</v>
      </c>
      <c r="M22" s="4" t="s">
        <v>60</v>
      </c>
      <c r="N22" s="2">
        <v>3.75</v>
      </c>
    </row>
    <row r="23" spans="5:14" x14ac:dyDescent="0.3">
      <c r="E23" s="4" t="s">
        <v>61</v>
      </c>
      <c r="F23" s="18">
        <v>17</v>
      </c>
      <c r="I23" s="4" t="s">
        <v>61</v>
      </c>
      <c r="J23" s="2">
        <v>33.058823529411768</v>
      </c>
      <c r="M23" s="4" t="s">
        <v>61</v>
      </c>
      <c r="N23" s="2">
        <v>8.3333333333333339</v>
      </c>
    </row>
    <row r="24" spans="5:14" x14ac:dyDescent="0.3">
      <c r="E24" s="4" t="s">
        <v>62</v>
      </c>
      <c r="F24" s="18">
        <v>16</v>
      </c>
      <c r="I24" s="4" t="s">
        <v>62</v>
      </c>
      <c r="J24" s="2">
        <v>33.5625</v>
      </c>
      <c r="M24" s="4" t="s">
        <v>62</v>
      </c>
      <c r="N24" s="2">
        <v>3.75</v>
      </c>
    </row>
    <row r="25" spans="5:14" x14ac:dyDescent="0.3">
      <c r="E25" s="4" t="s">
        <v>63</v>
      </c>
      <c r="F25" s="18">
        <v>18</v>
      </c>
      <c r="I25" s="4" t="s">
        <v>63</v>
      </c>
      <c r="J25" s="2">
        <v>31.555555555555557</v>
      </c>
      <c r="M25" s="4" t="s">
        <v>63</v>
      </c>
      <c r="N25" s="2">
        <v>4.666666666666667</v>
      </c>
    </row>
    <row r="26" spans="5:14" x14ac:dyDescent="0.3">
      <c r="E26" s="4" t="s">
        <v>64</v>
      </c>
      <c r="F26" s="18">
        <v>8</v>
      </c>
      <c r="I26" s="4" t="s">
        <v>64</v>
      </c>
      <c r="J26" s="2">
        <v>38.375</v>
      </c>
      <c r="M26" s="4" t="s">
        <v>64</v>
      </c>
      <c r="N26" s="2">
        <v>5</v>
      </c>
    </row>
    <row r="27" spans="5:14" x14ac:dyDescent="0.3">
      <c r="E27" s="4" t="s">
        <v>65</v>
      </c>
      <c r="F27" s="18">
        <v>17</v>
      </c>
      <c r="I27" s="4" t="s">
        <v>65</v>
      </c>
      <c r="J27" s="2">
        <v>35.411764705882355</v>
      </c>
      <c r="M27" s="4" t="s">
        <v>65</v>
      </c>
      <c r="N27" s="2">
        <v>4.333333333333333</v>
      </c>
    </row>
    <row r="28" spans="5:14" x14ac:dyDescent="0.3">
      <c r="E28" s="4" t="s">
        <v>66</v>
      </c>
      <c r="F28" s="18">
        <v>11</v>
      </c>
      <c r="I28" s="4" t="s">
        <v>66</v>
      </c>
      <c r="J28" s="2">
        <v>34.909090909090907</v>
      </c>
      <c r="M28" s="4" t="s">
        <v>66</v>
      </c>
      <c r="N28" s="2">
        <v>4.666666666666667</v>
      </c>
    </row>
    <row r="29" spans="5:14" x14ac:dyDescent="0.3">
      <c r="E29" s="4" t="s">
        <v>67</v>
      </c>
      <c r="F29" s="18">
        <v>15</v>
      </c>
      <c r="I29" s="4" t="s">
        <v>67</v>
      </c>
      <c r="J29" s="2">
        <v>35.133333333333333</v>
      </c>
      <c r="M29" s="4" t="s">
        <v>67</v>
      </c>
      <c r="N29" s="2">
        <v>4.5</v>
      </c>
    </row>
    <row r="30" spans="5:14" x14ac:dyDescent="0.3">
      <c r="E30" s="4" t="s">
        <v>68</v>
      </c>
      <c r="F30" s="18">
        <v>13</v>
      </c>
      <c r="I30" s="4" t="s">
        <v>68</v>
      </c>
      <c r="J30" s="2">
        <v>35.07692307692308</v>
      </c>
      <c r="M30" s="4" t="s">
        <v>68</v>
      </c>
      <c r="N30" s="2">
        <v>6</v>
      </c>
    </row>
    <row r="31" spans="5:14" x14ac:dyDescent="0.3">
      <c r="E31" s="4" t="s">
        <v>69</v>
      </c>
      <c r="F31" s="18">
        <v>17</v>
      </c>
      <c r="I31" s="4" t="s">
        <v>69</v>
      </c>
      <c r="J31" s="2">
        <v>35.352941176470587</v>
      </c>
      <c r="M31" s="4" t="s">
        <v>69</v>
      </c>
      <c r="N31" s="2">
        <v>6.8888888888888893</v>
      </c>
    </row>
    <row r="32" spans="5:14" x14ac:dyDescent="0.3">
      <c r="E32" s="4" t="s">
        <v>70</v>
      </c>
      <c r="F32" s="18">
        <v>20</v>
      </c>
      <c r="I32" s="4" t="s">
        <v>70</v>
      </c>
      <c r="J32" s="2">
        <v>36.6</v>
      </c>
      <c r="M32" s="4" t="s">
        <v>70</v>
      </c>
      <c r="N32" s="2">
        <v>6.5714285714285712</v>
      </c>
    </row>
    <row r="33" spans="1:14" x14ac:dyDescent="0.3">
      <c r="E33" s="4" t="s">
        <v>71</v>
      </c>
      <c r="F33" s="18">
        <v>20</v>
      </c>
      <c r="I33" s="4" t="s">
        <v>71</v>
      </c>
      <c r="J33" s="2">
        <v>35.799999999999997</v>
      </c>
      <c r="M33" s="4" t="s">
        <v>71</v>
      </c>
      <c r="N33" s="2">
        <v>4.0999999999999996</v>
      </c>
    </row>
    <row r="34" spans="1:14" x14ac:dyDescent="0.3">
      <c r="E34" s="4" t="s">
        <v>72</v>
      </c>
      <c r="F34" s="18">
        <v>13</v>
      </c>
      <c r="I34" s="4" t="s">
        <v>72</v>
      </c>
      <c r="J34" s="2">
        <v>30.307692307692307</v>
      </c>
      <c r="M34" s="4" t="s">
        <v>72</v>
      </c>
      <c r="N34" s="2">
        <v>5</v>
      </c>
    </row>
    <row r="35" spans="1:14" x14ac:dyDescent="0.3">
      <c r="E35" s="4" t="s">
        <v>73</v>
      </c>
      <c r="F35" s="18">
        <v>16</v>
      </c>
      <c r="I35" s="4" t="s">
        <v>73</v>
      </c>
      <c r="J35" s="2">
        <v>42.75</v>
      </c>
      <c r="M35" s="4" t="s">
        <v>73</v>
      </c>
      <c r="N35" s="2">
        <v>5.4</v>
      </c>
    </row>
    <row r="36" spans="1:14" x14ac:dyDescent="0.3">
      <c r="A36" s="1" t="s">
        <v>4</v>
      </c>
      <c r="B36" t="s">
        <v>12</v>
      </c>
      <c r="C36" t="s">
        <v>15</v>
      </c>
      <c r="E36" s="4" t="s">
        <v>5</v>
      </c>
      <c r="F36" s="18">
        <v>488</v>
      </c>
      <c r="I36" s="4" t="s">
        <v>5</v>
      </c>
      <c r="J36" s="2">
        <v>35.19877049180328</v>
      </c>
      <c r="M36" s="4" t="s">
        <v>5</v>
      </c>
      <c r="N36" s="2">
        <v>4.7876712328767121</v>
      </c>
    </row>
    <row r="37" spans="1:14" x14ac:dyDescent="0.3">
      <c r="A37" s="4" t="s">
        <v>13</v>
      </c>
      <c r="B37" s="2">
        <v>266</v>
      </c>
      <c r="C37" s="6">
        <v>0.54508196721311475</v>
      </c>
    </row>
    <row r="38" spans="1:14" x14ac:dyDescent="0.3">
      <c r="A38" s="4" t="s">
        <v>14</v>
      </c>
      <c r="B38" s="2">
        <v>222</v>
      </c>
      <c r="C38" s="6">
        <v>0.45491803278688525</v>
      </c>
    </row>
    <row r="39" spans="1:14" x14ac:dyDescent="0.3">
      <c r="A39" s="4" t="s">
        <v>5</v>
      </c>
      <c r="B39" s="2">
        <v>488</v>
      </c>
      <c r="C39" s="6">
        <v>1</v>
      </c>
    </row>
    <row r="49" spans="1:5" x14ac:dyDescent="0.3">
      <c r="A49" s="9" t="s">
        <v>16</v>
      </c>
      <c r="B49" s="9" t="s">
        <v>1</v>
      </c>
      <c r="C49" s="12" t="s">
        <v>17</v>
      </c>
      <c r="D49" s="13"/>
      <c r="E49" s="8"/>
    </row>
    <row r="50" spans="1:5" x14ac:dyDescent="0.3">
      <c r="A50" s="7" t="str">
        <f>A38</f>
        <v>Not Admitted</v>
      </c>
      <c r="B50" s="7">
        <f>B38</f>
        <v>222</v>
      </c>
      <c r="C50" s="11">
        <f>C38</f>
        <v>0.45491803278688525</v>
      </c>
      <c r="D50" s="7"/>
      <c r="E50" s="7"/>
    </row>
    <row r="51" spans="1:5" x14ac:dyDescent="0.3">
      <c r="A51" s="7" t="str">
        <f>A37</f>
        <v>Admitted</v>
      </c>
      <c r="B51" s="7">
        <f>B37</f>
        <v>266</v>
      </c>
      <c r="C51" s="11">
        <f>C37</f>
        <v>0.54508196721311475</v>
      </c>
      <c r="D51" s="7"/>
      <c r="E51" s="7"/>
    </row>
    <row r="52" spans="1:5" x14ac:dyDescent="0.3">
      <c r="D52" s="7"/>
      <c r="E52" s="7"/>
    </row>
    <row r="56" spans="1:5" x14ac:dyDescent="0.3">
      <c r="A56" s="1" t="s">
        <v>4</v>
      </c>
      <c r="B56" t="s">
        <v>26</v>
      </c>
    </row>
    <row r="57" spans="1:5" x14ac:dyDescent="0.3">
      <c r="A57" s="4" t="s">
        <v>18</v>
      </c>
      <c r="B57" s="10">
        <v>62</v>
      </c>
    </row>
    <row r="58" spans="1:5" x14ac:dyDescent="0.3">
      <c r="A58" s="4" t="s">
        <v>19</v>
      </c>
      <c r="B58" s="10">
        <v>73</v>
      </c>
    </row>
    <row r="59" spans="1:5" x14ac:dyDescent="0.3">
      <c r="A59" s="4" t="s">
        <v>20</v>
      </c>
      <c r="B59" s="10">
        <v>49</v>
      </c>
    </row>
    <row r="60" spans="1:5" x14ac:dyDescent="0.3">
      <c r="A60" s="4" t="s">
        <v>21</v>
      </c>
      <c r="B60" s="10">
        <v>44</v>
      </c>
    </row>
    <row r="61" spans="1:5" x14ac:dyDescent="0.3">
      <c r="A61" s="4" t="s">
        <v>22</v>
      </c>
      <c r="B61" s="10">
        <v>72</v>
      </c>
    </row>
    <row r="62" spans="1:5" x14ac:dyDescent="0.3">
      <c r="A62" s="4" t="s">
        <v>23</v>
      </c>
      <c r="B62" s="10">
        <v>71</v>
      </c>
    </row>
    <row r="63" spans="1:5" x14ac:dyDescent="0.3">
      <c r="A63" s="4" t="s">
        <v>24</v>
      </c>
      <c r="B63" s="10">
        <v>59</v>
      </c>
    </row>
    <row r="64" spans="1:5" x14ac:dyDescent="0.3">
      <c r="A64" s="4" t="s">
        <v>25</v>
      </c>
      <c r="B64" s="10">
        <v>58</v>
      </c>
    </row>
    <row r="65" spans="1:2" x14ac:dyDescent="0.3">
      <c r="A65" s="4" t="s">
        <v>5</v>
      </c>
      <c r="B65" s="10">
        <v>488</v>
      </c>
    </row>
    <row r="68" spans="1:2" x14ac:dyDescent="0.3">
      <c r="A68" s="1" t="s">
        <v>4</v>
      </c>
      <c r="B68" t="s">
        <v>29</v>
      </c>
    </row>
    <row r="69" spans="1:2" x14ac:dyDescent="0.3">
      <c r="A69" s="4" t="s">
        <v>28</v>
      </c>
      <c r="B69" s="10">
        <v>288</v>
      </c>
    </row>
    <row r="70" spans="1:2" x14ac:dyDescent="0.3">
      <c r="A70" s="4" t="s">
        <v>27</v>
      </c>
      <c r="B70" s="10">
        <v>200</v>
      </c>
    </row>
    <row r="71" spans="1:2" x14ac:dyDescent="0.3">
      <c r="A71" s="4" t="s">
        <v>5</v>
      </c>
      <c r="B71" s="2">
        <v>488</v>
      </c>
    </row>
    <row r="75" spans="1:2" x14ac:dyDescent="0.3">
      <c r="A75" s="1" t="s">
        <v>4</v>
      </c>
      <c r="B75" t="s">
        <v>32</v>
      </c>
    </row>
    <row r="76" spans="1:2" x14ac:dyDescent="0.3">
      <c r="A76" s="4" t="s">
        <v>30</v>
      </c>
      <c r="B76" s="10">
        <v>232</v>
      </c>
    </row>
    <row r="77" spans="1:2" x14ac:dyDescent="0.3">
      <c r="A77" s="4" t="s">
        <v>31</v>
      </c>
      <c r="B77" s="10">
        <v>256</v>
      </c>
    </row>
    <row r="78" spans="1:2" x14ac:dyDescent="0.3">
      <c r="A78" s="4" t="s">
        <v>5</v>
      </c>
      <c r="B78" s="2">
        <v>488</v>
      </c>
    </row>
    <row r="80" spans="1:2" x14ac:dyDescent="0.3">
      <c r="A80" s="1" t="s">
        <v>4</v>
      </c>
      <c r="B80" t="s">
        <v>41</v>
      </c>
    </row>
    <row r="81" spans="1:2" x14ac:dyDescent="0.3">
      <c r="A81" s="4" t="s">
        <v>40</v>
      </c>
      <c r="B81" s="10">
        <v>4</v>
      </c>
    </row>
    <row r="82" spans="1:2" x14ac:dyDescent="0.3">
      <c r="A82" s="4" t="s">
        <v>36</v>
      </c>
      <c r="B82" s="10">
        <v>7</v>
      </c>
    </row>
    <row r="83" spans="1:2" x14ac:dyDescent="0.3">
      <c r="A83" s="4" t="s">
        <v>33</v>
      </c>
      <c r="B83" s="10">
        <v>11</v>
      </c>
    </row>
    <row r="84" spans="1:2" x14ac:dyDescent="0.3">
      <c r="A84" s="4" t="s">
        <v>34</v>
      </c>
      <c r="B84" s="10">
        <v>11</v>
      </c>
    </row>
    <row r="85" spans="1:2" x14ac:dyDescent="0.3">
      <c r="A85" s="4" t="s">
        <v>39</v>
      </c>
      <c r="B85" s="10">
        <v>12</v>
      </c>
    </row>
    <row r="86" spans="1:2" x14ac:dyDescent="0.3">
      <c r="A86" s="4" t="s">
        <v>38</v>
      </c>
      <c r="B86" s="10">
        <v>60</v>
      </c>
    </row>
    <row r="87" spans="1:2" x14ac:dyDescent="0.3">
      <c r="A87" s="4" t="s">
        <v>35</v>
      </c>
      <c r="B87" s="10">
        <v>93</v>
      </c>
    </row>
    <row r="88" spans="1:2" x14ac:dyDescent="0.3">
      <c r="A88" s="4" t="s">
        <v>37</v>
      </c>
      <c r="B88" s="10">
        <v>290</v>
      </c>
    </row>
    <row r="89" spans="1:2" x14ac:dyDescent="0.3">
      <c r="A89" s="4" t="s">
        <v>5</v>
      </c>
      <c r="B89" s="2">
        <v>488</v>
      </c>
    </row>
    <row r="91" spans="1:2" x14ac:dyDescent="0.3">
      <c r="A91" s="1" t="s">
        <v>4</v>
      </c>
    </row>
    <row r="92" spans="1:2" x14ac:dyDescent="0.3">
      <c r="A92" s="4" t="s">
        <v>42</v>
      </c>
    </row>
    <row r="93" spans="1:2" x14ac:dyDescent="0.3">
      <c r="A93" s="4" t="s">
        <v>5</v>
      </c>
    </row>
  </sheetData>
  <mergeCells count="1">
    <mergeCell ref="C49:D49"/>
  </mergeCells>
  <pageMargins left="0.7" right="0.7" top="0.75" bottom="0.75" header="0.3" footer="0.3"/>
  <drawing r:id="rId1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25DB63-0B83-44BD-82D8-1F5CAE7E67AC}">
  <dimension ref="A1:AU17"/>
  <sheetViews>
    <sheetView tabSelected="1" zoomScale="169" zoomScaleNormal="80" workbookViewId="0">
      <selection activeCell="F19" sqref="F19"/>
    </sheetView>
  </sheetViews>
  <sheetFormatPr defaultRowHeight="14.4" x14ac:dyDescent="0.3"/>
  <cols>
    <col min="5" max="5" width="8.88671875" customWidth="1"/>
  </cols>
  <sheetData>
    <row r="1" spans="1:47" x14ac:dyDescent="0.3">
      <c r="A1" s="3"/>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row>
    <row r="2" spans="1:47" x14ac:dyDescent="0.3">
      <c r="A2" s="3"/>
      <c r="B2" s="3"/>
      <c r="C2" s="3"/>
      <c r="D2" s="3"/>
      <c r="E2" s="3"/>
      <c r="F2" s="3"/>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row>
    <row r="3" spans="1:47" x14ac:dyDescent="0.3">
      <c r="A3" s="3"/>
      <c r="B3" s="3"/>
      <c r="C3" s="3"/>
      <c r="D3" s="3"/>
      <c r="E3" s="3"/>
      <c r="F3" s="3"/>
      <c r="G3" s="3"/>
      <c r="H3" s="3"/>
      <c r="I3" s="3"/>
      <c r="J3" s="3"/>
      <c r="K3" s="3"/>
      <c r="L3" s="3"/>
      <c r="M3" s="3"/>
      <c r="N3" s="3"/>
      <c r="O3" s="3"/>
      <c r="P3" s="3"/>
      <c r="Q3" s="3"/>
      <c r="R3" s="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row>
    <row r="4" spans="1:47" x14ac:dyDescent="0.3">
      <c r="A4" s="3"/>
      <c r="B4" s="3"/>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row>
    <row r="5" spans="1:47" x14ac:dyDescent="0.3">
      <c r="A5" s="3"/>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row>
    <row r="6" spans="1:47" x14ac:dyDescent="0.3">
      <c r="A6" s="3"/>
      <c r="B6" s="3"/>
      <c r="C6" s="3"/>
      <c r="D6" s="3"/>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row>
    <row r="7" spans="1:47" x14ac:dyDescent="0.3">
      <c r="A7" s="3"/>
      <c r="B7" s="3"/>
      <c r="C7" s="3"/>
      <c r="D7" s="3"/>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row>
    <row r="8" spans="1:47" x14ac:dyDescent="0.3">
      <c r="A8" s="3"/>
      <c r="B8" s="3"/>
      <c r="C8" s="3"/>
      <c r="D8" s="3"/>
      <c r="E8" s="3"/>
      <c r="F8" s="3"/>
      <c r="G8" s="3"/>
      <c r="H8" s="3"/>
      <c r="I8" s="3"/>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row>
    <row r="9" spans="1:47" x14ac:dyDescent="0.3">
      <c r="A9" s="3"/>
      <c r="B9" s="3"/>
      <c r="C9" s="3"/>
      <c r="D9" s="3"/>
      <c r="E9" s="3"/>
      <c r="F9" s="3"/>
      <c r="G9" s="3"/>
      <c r="H9" s="3"/>
      <c r="I9" s="3"/>
      <c r="J9" s="3"/>
      <c r="K9" s="3"/>
      <c r="L9" s="3"/>
      <c r="M9" s="3"/>
      <c r="N9" s="3"/>
      <c r="O9" s="3"/>
      <c r="P9" s="3"/>
      <c r="Q9" s="3"/>
      <c r="R9" s="3"/>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row>
    <row r="10" spans="1:47" x14ac:dyDescent="0.3">
      <c r="A10" s="3"/>
      <c r="B10" s="3"/>
      <c r="C10" s="3"/>
      <c r="D10" s="3"/>
      <c r="E10" s="3"/>
      <c r="F10" s="3"/>
      <c r="G10" s="3"/>
      <c r="H10" s="3"/>
      <c r="I10" s="3"/>
      <c r="J10" s="3"/>
      <c r="K10" s="3"/>
      <c r="L10" s="3"/>
      <c r="M10" s="3"/>
      <c r="N10" s="3"/>
      <c r="O10" s="3"/>
      <c r="P10" s="3"/>
      <c r="Q10" s="3"/>
      <c r="R10" s="3"/>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row>
    <row r="11" spans="1:47" x14ac:dyDescent="0.3">
      <c r="A11" s="3"/>
      <c r="B11" s="3"/>
      <c r="C11" s="3"/>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row>
    <row r="12" spans="1:47" x14ac:dyDescent="0.3">
      <c r="A12" s="3"/>
      <c r="B12" s="3"/>
      <c r="C12" s="3"/>
      <c r="D12" s="3"/>
      <c r="E12" s="3"/>
      <c r="F12" s="3"/>
      <c r="G12" s="3"/>
      <c r="H12" s="3"/>
      <c r="I12" s="3"/>
      <c r="J12" s="3"/>
      <c r="K12" s="3"/>
      <c r="L12" s="3"/>
      <c r="M12" s="3"/>
      <c r="N12" s="3"/>
      <c r="O12" s="3"/>
      <c r="P12" s="3"/>
      <c r="Q12" s="3"/>
      <c r="R12" s="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row>
    <row r="13" spans="1:47" x14ac:dyDescent="0.3">
      <c r="A13" s="3"/>
      <c r="B13" s="3"/>
      <c r="C13" s="3"/>
      <c r="D13" s="3"/>
      <c r="E13" s="3"/>
      <c r="F13" s="3"/>
      <c r="G13" s="3"/>
      <c r="H13" s="3"/>
      <c r="I13" s="3"/>
      <c r="J13" s="3"/>
      <c r="K13" s="3"/>
      <c r="L13" s="3"/>
      <c r="M13" s="3"/>
      <c r="N13" s="3"/>
      <c r="O13" s="3"/>
      <c r="P13" s="3"/>
      <c r="Q13" s="3"/>
      <c r="R13" s="3"/>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row>
    <row r="14" spans="1:47" x14ac:dyDescent="0.3">
      <c r="A14" s="3"/>
      <c r="B14" s="3"/>
      <c r="C14" s="3"/>
      <c r="D14" s="3"/>
      <c r="E14" s="3"/>
      <c r="F14" s="3"/>
      <c r="G14" s="3"/>
      <c r="H14" s="3"/>
      <c r="I14" s="3"/>
      <c r="J14" s="3"/>
      <c r="K14" s="3"/>
      <c r="L14" s="3"/>
      <c r="M14" s="3"/>
      <c r="N14" s="3"/>
      <c r="O14" s="3"/>
      <c r="P14" s="3"/>
      <c r="Q14" s="3"/>
      <c r="R14" s="3"/>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row>
    <row r="15" spans="1:47" x14ac:dyDescent="0.3">
      <c r="A15" s="3"/>
      <c r="B15" s="3"/>
      <c r="C15" s="3"/>
      <c r="D15" s="3"/>
      <c r="E15" s="3"/>
      <c r="F15" s="3"/>
      <c r="G15" s="3"/>
      <c r="H15" s="3"/>
      <c r="I15" s="3"/>
      <c r="J15" s="3"/>
      <c r="K15" s="3"/>
      <c r="L15" s="3"/>
      <c r="M15" s="3"/>
      <c r="N15" s="3"/>
      <c r="O15" s="3"/>
      <c r="P15" s="3"/>
      <c r="Q15" s="3"/>
      <c r="R15" s="3"/>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row>
    <row r="16" spans="1:47" x14ac:dyDescent="0.3">
      <c r="A16" s="3"/>
      <c r="B16" s="3"/>
      <c r="C16" s="3"/>
      <c r="D16" s="3"/>
      <c r="E16" s="3"/>
      <c r="F16" s="3"/>
      <c r="G16" s="3"/>
      <c r="H16" s="3"/>
      <c r="I16" s="3"/>
      <c r="J16" s="3"/>
      <c r="K16" s="3"/>
      <c r="L16" s="3"/>
      <c r="M16" s="3"/>
      <c r="N16" s="3"/>
      <c r="O16" s="3"/>
      <c r="P16" s="3"/>
      <c r="Q16" s="3"/>
      <c r="R16" s="3"/>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row>
    <row r="17" spans="1:47" x14ac:dyDescent="0.3">
      <c r="A17" s="3"/>
      <c r="B17" s="3"/>
      <c r="C17" s="3"/>
      <c r="D17" s="3"/>
      <c r="E17" s="3"/>
      <c r="F17" s="3"/>
      <c r="G17" s="3"/>
      <c r="H17" s="3"/>
      <c r="I17" s="3"/>
      <c r="J17" s="3"/>
      <c r="K17" s="3"/>
      <c r="L17" s="3"/>
      <c r="M17" s="3"/>
      <c r="N17" s="3"/>
      <c r="O17" s="3"/>
      <c r="P17" s="3"/>
      <c r="Q17" s="3"/>
      <c r="R17" s="3"/>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row>
  </sheetData>
  <pageMargins left="0.7" right="0.7" top="0.75" bottom="0.75" header="0.3" footer="0.3"/>
  <pageSetup orientation="portrait" r:id="rId1"/>
  <drawing r:id="rId2"/>
  <legacyDrawing r:id="rId3"/>
  <extLst>
    <ext xmlns:x14="http://schemas.microsoft.com/office/spreadsheetml/2009/9/main" uri="{A8765BA9-456A-4dab-B4F3-ACF838C121DE}">
      <x14:slicerList>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48FA95-BD3A-4EB9-8D41-F4B5729B5177}">
  <dimension ref="A20:L20"/>
  <sheetViews>
    <sheetView workbookViewId="0"/>
  </sheetViews>
  <sheetFormatPr defaultRowHeight="14.4" x14ac:dyDescent="0.3"/>
  <sheetData>
    <row r="20" spans="1:12" x14ac:dyDescent="0.3">
      <c r="A20" s="14" t="s">
        <v>8</v>
      </c>
      <c r="B20" s="14"/>
      <c r="C20" s="14"/>
      <c r="D20" s="14"/>
      <c r="E20" s="14"/>
      <c r="F20" s="14"/>
      <c r="G20" s="14"/>
      <c r="H20" s="14"/>
      <c r="I20" s="14"/>
      <c r="J20" s="14"/>
      <c r="K20" s="14"/>
      <c r="L20" s="14"/>
    </row>
  </sheetData>
  <mergeCells count="1">
    <mergeCell ref="A20:L20"/>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CEAA2F-8EE4-4206-973D-E02C6A598478}">
  <dimension ref="A15:N23"/>
  <sheetViews>
    <sheetView workbookViewId="0"/>
  </sheetViews>
  <sheetFormatPr defaultRowHeight="14.4" x14ac:dyDescent="0.3"/>
  <sheetData>
    <row r="15" spans="1:9" x14ac:dyDescent="0.3">
      <c r="A15" s="15"/>
      <c r="B15" s="15"/>
      <c r="C15" s="15"/>
      <c r="D15" s="15"/>
      <c r="E15" s="15"/>
      <c r="F15" s="15"/>
      <c r="G15" s="15"/>
      <c r="H15" s="15"/>
      <c r="I15" s="15"/>
    </row>
    <row r="16" spans="1:9" x14ac:dyDescent="0.3">
      <c r="B16" s="5"/>
    </row>
    <row r="19" spans="1:14" ht="23.4" x14ac:dyDescent="0.3">
      <c r="A19" s="16"/>
      <c r="B19" s="16"/>
      <c r="C19" s="16"/>
      <c r="D19" s="16"/>
      <c r="E19" s="16"/>
      <c r="F19" s="16"/>
      <c r="G19" s="16"/>
      <c r="H19" s="16"/>
      <c r="I19" s="16"/>
      <c r="J19" s="16"/>
      <c r="K19" s="16"/>
      <c r="L19" s="16"/>
    </row>
    <row r="23" spans="1:14" ht="23.4" x14ac:dyDescent="0.45">
      <c r="A23" s="17" t="s">
        <v>11</v>
      </c>
      <c r="B23" s="17"/>
      <c r="C23" s="17"/>
      <c r="D23" s="17"/>
      <c r="E23" s="17"/>
      <c r="F23" s="17"/>
      <c r="G23" s="17"/>
      <c r="H23" s="17"/>
      <c r="I23" s="17"/>
      <c r="J23" s="17"/>
      <c r="K23" s="17"/>
      <c r="L23" s="17"/>
      <c r="M23" s="17"/>
      <c r="N23" s="17"/>
    </row>
  </sheetData>
  <mergeCells count="3">
    <mergeCell ref="A15:I15"/>
    <mergeCell ref="A19:L19"/>
    <mergeCell ref="A23:N2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9FA77A-883E-42C9-8011-6FB2F2705D5F}">
  <dimension ref="A20:Q31"/>
  <sheetViews>
    <sheetView zoomScale="66" workbookViewId="0"/>
  </sheetViews>
  <sheetFormatPr defaultRowHeight="14.4" x14ac:dyDescent="0.3"/>
  <sheetData>
    <row r="20" spans="1:17" x14ac:dyDescent="0.3">
      <c r="A20" s="14"/>
      <c r="B20" s="14"/>
      <c r="C20" s="14"/>
      <c r="D20" s="14"/>
      <c r="E20" s="14"/>
      <c r="F20" s="14"/>
      <c r="G20" s="14"/>
      <c r="H20" s="14"/>
      <c r="I20" s="14"/>
      <c r="J20" s="14"/>
      <c r="K20" s="14"/>
      <c r="L20" s="14"/>
    </row>
    <row r="31" spans="1:17" ht="23.4" x14ac:dyDescent="0.3">
      <c r="A31" s="16" t="s">
        <v>10</v>
      </c>
      <c r="B31" s="16"/>
      <c r="C31" s="16"/>
      <c r="D31" s="16"/>
      <c r="E31" s="16"/>
      <c r="F31" s="16"/>
      <c r="G31" s="16"/>
      <c r="H31" s="16"/>
      <c r="I31" s="16"/>
      <c r="J31" s="16"/>
      <c r="K31" s="16"/>
      <c r="L31" s="16"/>
      <c r="M31" s="16"/>
      <c r="N31" s="16"/>
      <c r="O31" s="16"/>
      <c r="P31" s="16"/>
      <c r="Q31" s="16"/>
    </row>
  </sheetData>
  <mergeCells count="2">
    <mergeCell ref="A20:L20"/>
    <mergeCell ref="A31:Q31"/>
  </mergeCell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029F3D29-1A5D-4BC1-B304-E322D4A0386B}">
  <ds:schemaRefs/>
</ds:datastoreItem>
</file>

<file path=customXml/itemProps2.xml><?xml version="1.0" encoding="utf-8"?>
<ds:datastoreItem xmlns:ds="http://schemas.openxmlformats.org/officeDocument/2006/customXml" ds:itemID="{A65CD307-0D9C-4E0E-B480-9D3F36387B72}">
  <ds:schemaRefs/>
</ds:datastoreItem>
</file>

<file path=customXml/itemProps3.xml><?xml version="1.0" encoding="utf-8"?>
<ds:datastoreItem xmlns:ds="http://schemas.openxmlformats.org/officeDocument/2006/customXml" ds:itemID="{0CCFADCE-3296-4B1D-A2FE-6075A20EAF9C}">
  <ds:schemaRefs/>
</ds:datastoreItem>
</file>

<file path=customXml/itemProps4.xml><?xml version="1.0" encoding="utf-8"?>
<ds:datastoreItem xmlns:ds="http://schemas.openxmlformats.org/officeDocument/2006/customXml" ds:itemID="{4310D3C1-1BF4-43EA-9320-1ED50A92D11F}">
  <ds:schemaRefs/>
</ds:datastoreItem>
</file>

<file path=customXml/itemProps5.xml><?xml version="1.0" encoding="utf-8"?>
<ds:datastoreItem xmlns:ds="http://schemas.openxmlformats.org/officeDocument/2006/customXml" ds:itemID="{98256A44-1A6A-453B-8BCE-26B3393C1CDF}">
  <ds:schemaRefs/>
</ds:datastoreItem>
</file>

<file path=customXml/itemProps6.xml><?xml version="1.0" encoding="utf-8"?>
<ds:datastoreItem xmlns:ds="http://schemas.openxmlformats.org/officeDocument/2006/customXml" ds:itemID="{6C6EE2E7-90F9-47BB-92D7-EB890F871648}">
  <ds:schemaRefs/>
</ds:datastoreItem>
</file>

<file path=customXml/itemProps7.xml><?xml version="1.0" encoding="utf-8"?>
<ds:datastoreItem xmlns:ds="http://schemas.openxmlformats.org/officeDocument/2006/customXml" ds:itemID="{9DF714C5-E7CB-4244-8E6B-32A9979C3E52}">
  <ds:schemaRefs/>
</ds:datastoreItem>
</file>

<file path=customXml/itemProps8.xml><?xml version="1.0" encoding="utf-8"?>
<ds:datastoreItem xmlns:ds="http://schemas.openxmlformats.org/officeDocument/2006/customXml" ds:itemID="{DBD8CB7D-608E-4362-8DB1-391E97C008D3}">
  <ds:schemaRefs/>
</ds:datastoreItem>
</file>

<file path=customXml/itemProps9.xml><?xml version="1.0" encoding="utf-8"?>
<ds:datastoreItem xmlns:ds="http://schemas.openxmlformats.org/officeDocument/2006/customXml" ds:itemID="{0B10DB5C-35CA-476F-A3E7-FD995B4FBF87}">
  <ds:schemaRefs>
    <ds:schemaRef ds:uri="http://schemas.microsoft.com/DataMashup"/>
  </ds:schemaRefs>
</ds:datastoreItem>
</file>

<file path=customXml/itemProps10.xml><?xml version="1.0" encoding="utf-8"?>
<ds:datastoreItem xmlns:ds="http://schemas.openxmlformats.org/officeDocument/2006/customXml" ds:itemID="{9DF0AFF3-41B8-4F0B-B59D-C08037A4AC25}">
  <ds:schemaRefs/>
</ds:datastoreItem>
</file>

<file path=customXml/itemProps11.xml><?xml version="1.0" encoding="utf-8"?>
<ds:datastoreItem xmlns:ds="http://schemas.openxmlformats.org/officeDocument/2006/customXml" ds:itemID="{75920AC0-D04F-4911-AB43-6FDCB653D98A}">
  <ds:schemaRefs/>
</ds:datastoreItem>
</file>

<file path=customXml/itemProps12.xml><?xml version="1.0" encoding="utf-8"?>
<ds:datastoreItem xmlns:ds="http://schemas.openxmlformats.org/officeDocument/2006/customXml" ds:itemID="{957B11EB-6559-4FFD-AF28-58CD64105FA0}">
  <ds:schemaRefs/>
</ds:datastoreItem>
</file>

<file path=customXml/itemProps13.xml><?xml version="1.0" encoding="utf-8"?>
<ds:datastoreItem xmlns:ds="http://schemas.openxmlformats.org/officeDocument/2006/customXml" ds:itemID="{55B48DFA-0F58-41E3-8ABB-E3B6CAD2412C}">
  <ds:schemaRefs/>
</ds:datastoreItem>
</file>

<file path=customXml/itemProps14.xml><?xml version="1.0" encoding="utf-8"?>
<ds:datastoreItem xmlns:ds="http://schemas.openxmlformats.org/officeDocument/2006/customXml" ds:itemID="{D136036A-647B-4F8E-ADFF-0BC7E9F826F0}">
  <ds:schemaRefs/>
</ds:datastoreItem>
</file>

<file path=customXml/itemProps15.xml><?xml version="1.0" encoding="utf-8"?>
<ds:datastoreItem xmlns:ds="http://schemas.openxmlformats.org/officeDocument/2006/customXml" ds:itemID="{1C667C29-E7E5-41EC-97C7-B967F602D43B}">
  <ds:schemaRefs/>
</ds:datastoreItem>
</file>

<file path=customXml/itemProps16.xml><?xml version="1.0" encoding="utf-8"?>
<ds:datastoreItem xmlns:ds="http://schemas.openxmlformats.org/officeDocument/2006/customXml" ds:itemID="{B4A1EF15-F2D6-48B3-98F5-B215E521AD93}">
  <ds:schemaRefs/>
</ds:datastoreItem>
</file>

<file path=customXml/itemProps17.xml><?xml version="1.0" encoding="utf-8"?>
<ds:datastoreItem xmlns:ds="http://schemas.openxmlformats.org/officeDocument/2006/customXml" ds:itemID="{25B145DA-AD39-4003-AA60-E31CF913986B}">
  <ds:schemaRefs/>
</ds:datastoreItem>
</file>

<file path=customXml/itemProps18.xml><?xml version="1.0" encoding="utf-8"?>
<ds:datastoreItem xmlns:ds="http://schemas.openxmlformats.org/officeDocument/2006/customXml" ds:itemID="{7F7B0428-5099-4353-B294-B6512EC19A76}">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 Report</vt:lpstr>
      <vt:lpstr>Dashboard sheet</vt:lpstr>
      <vt:lpstr>Average wait time daily trend</vt:lpstr>
      <vt:lpstr>Daily ER no. of patients</vt:lpstr>
      <vt:lpstr>Satisfaction score daily trend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Umar Abbasi</dc:creator>
  <cp:lastModifiedBy>Umar Abbasi</cp:lastModifiedBy>
  <dcterms:created xsi:type="dcterms:W3CDTF">2026-10-19T19:44:25Z</dcterms:created>
  <dcterms:modified xsi:type="dcterms:W3CDTF">2026-10-26T19:32:50Z</dcterms:modified>
</cp:coreProperties>
</file>